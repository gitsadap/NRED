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งานสหกิจฯ\สหกิจ68\3.สรุปสถานประกอบการ\"/>
    </mc:Choice>
  </mc:AlternateContent>
  <xr:revisionPtr revIDLastSave="0" documentId="13_ncr:1_{BFD063CD-77C5-41D0-AD9D-B7A0DCE4139D}" xr6:coauthVersionLast="47" xr6:coauthVersionMax="47" xr10:uidLastSave="{00000000-0000-0000-0000-000000000000}"/>
  <bookViews>
    <workbookView xWindow="-108" yWindow="-108" windowWidth="23256" windowHeight="12456" activeTab="1" xr2:uid="{475E2D42-39CD-4CBF-AD7C-F6357A802E01}"/>
  </bookViews>
  <sheets>
    <sheet name="ค่าใช้จ่าย" sheetId="10" r:id="rId1"/>
    <sheet name="รายชื่อรวม" sheetId="1" r:id="rId2"/>
    <sheet name="อ.กณิตา(เบิก)" sheetId="2" r:id="rId3"/>
    <sheet name="อ.กฤษฎา(เบิก)" sheetId="3" r:id="rId4"/>
    <sheet name="อ.กฤษฎา(จริง)" sheetId="4" r:id="rId5"/>
    <sheet name="อ.เชิดศักดิ์" sheetId="5" r:id="rId6"/>
    <sheet name="อ.ณิชากร(จริง)" sheetId="6" r:id="rId7"/>
    <sheet name="อ.ณิชากร(เบิก)" sheetId="7" r:id="rId8"/>
    <sheet name="อ.เสวียน(เบิก)" sheetId="8" r:id="rId9"/>
    <sheet name="อ.เสวียน(จริง)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0" l="1"/>
  <c r="E6" i="10"/>
  <c r="E5" i="10"/>
  <c r="E4" i="10"/>
  <c r="E3" i="10"/>
  <c r="C26" i="9"/>
  <c r="C25" i="6"/>
  <c r="C27" i="4"/>
</calcChain>
</file>

<file path=xl/sharedStrings.xml><?xml version="1.0" encoding="utf-8"?>
<sst xmlns="http://schemas.openxmlformats.org/spreadsheetml/2006/main" count="566" uniqueCount="276">
  <si>
    <t> 65160068</t>
  </si>
  <si>
    <t> นางสาวกนกพร จันทร์เพ็ญ</t>
  </si>
  <si>
    <t>kanokpornc65@nu.ac.th</t>
  </si>
  <si>
    <t> 65160211</t>
  </si>
  <si>
    <t> นางสาวกัญสร ปรีถวิล</t>
  </si>
  <si>
    <t>kanyasornb65@nu.ac.th</t>
  </si>
  <si>
    <t> 65160372</t>
  </si>
  <si>
    <t> นางสาวกุลธิดา ไชยเมืองชื่น</t>
  </si>
  <si>
    <t>kunlathidac65@nu.ac.th</t>
  </si>
  <si>
    <t> 65160495</t>
  </si>
  <si>
    <t> นายคุณากร สิงห์ทอง</t>
  </si>
  <si>
    <t>khunakons65@nu.ac.th</t>
  </si>
  <si>
    <t> 65160556</t>
  </si>
  <si>
    <t> นางสาวจารุวรรณ ขาวเนตร</t>
  </si>
  <si>
    <t>jaruwank65@nu.ac.th</t>
  </si>
  <si>
    <t> 65160624</t>
  </si>
  <si>
    <t> นางสาวจิรภาส เขตรวิทย์</t>
  </si>
  <si>
    <t>jirapask65@nu.ac.th</t>
  </si>
  <si>
    <t> 65160662</t>
  </si>
  <si>
    <t> นางสาวจิราพัชร ต๊ะตา</t>
  </si>
  <si>
    <t>jirapatt65@nu.ac.th</t>
  </si>
  <si>
    <t> 65160716</t>
  </si>
  <si>
    <t> นายจุฑาทัต ฉิมทิม</t>
  </si>
  <si>
    <t>chuthathatc65@nu.ac.th</t>
  </si>
  <si>
    <t> 65160860</t>
  </si>
  <si>
    <t> นายชิติพัทธ์ ราชบัณฑิต</t>
  </si>
  <si>
    <t>chitiphatr65@nu.ac.th</t>
  </si>
  <si>
    <t> 65160938</t>
  </si>
  <si>
    <t> นางสาวญาณิศา วรัตถ์สุวรรณ</t>
  </si>
  <si>
    <t>yanisaw65@nu.ac.th</t>
  </si>
  <si>
    <t> 65160945</t>
  </si>
  <si>
    <t> นางสาวญาดา ไทรฟัก</t>
  </si>
  <si>
    <t>yadas65@nu.ac.th</t>
  </si>
  <si>
    <t> 65161041</t>
  </si>
  <si>
    <t> นางสาวณัฐกาญจน์ จีนทิม</t>
  </si>
  <si>
    <t>nutthakanj65@nu.ac.th</t>
  </si>
  <si>
    <t> 65161072</t>
  </si>
  <si>
    <t> นางสาวณัฐนิชา อ้นภู้</t>
  </si>
  <si>
    <t>natnichao65@nu.ac.th</t>
  </si>
  <si>
    <t> 65161089</t>
  </si>
  <si>
    <t> นางสาวณัฐพร เครือสีมา</t>
  </si>
  <si>
    <t>natthaphonkh65@nu.ac.th</t>
  </si>
  <si>
    <t> 65161171</t>
  </si>
  <si>
    <t> นางสาวดวงพร หลวงแก้ว</t>
  </si>
  <si>
    <t>duangphonl65@nu.ac.th</t>
  </si>
  <si>
    <t> 65161218</t>
  </si>
  <si>
    <t> นายทนัตถ์ มั่งแพร</t>
  </si>
  <si>
    <t>thanatm65@nu.ac.th</t>
  </si>
  <si>
    <t> 65161263</t>
  </si>
  <si>
    <t> นางสาวทิฆัมพร มูลยะ</t>
  </si>
  <si>
    <t>thikumpornm65@nu.ac.th</t>
  </si>
  <si>
    <t> 65161409</t>
  </si>
  <si>
    <t> นางสาวธนัชพร บัวอำไพ</t>
  </si>
  <si>
    <t>thanatchaphonb65@nu.ac.th</t>
  </si>
  <si>
    <t> 65161423</t>
  </si>
  <si>
    <t> นางสาวธนัญญา สังข์ทอง</t>
  </si>
  <si>
    <t>thananyas65@nu.ac.th</t>
  </si>
  <si>
    <t> 65161454</t>
  </si>
  <si>
    <t> นางสาวธมลวรรณ เงินฉลาด</t>
  </si>
  <si>
    <t>tamonwann65@nu.ac.th</t>
  </si>
  <si>
    <t> 65161584</t>
  </si>
  <si>
    <t> นางสาวนฎารัตน์ เทพเภา</t>
  </si>
  <si>
    <t>nadaratt65@nu.ac.th</t>
  </si>
  <si>
    <t> 65161591</t>
  </si>
  <si>
    <t> นายนนท์ชนก นาคะสิทธิ์</t>
  </si>
  <si>
    <t>nonchanokn65@nu.ac.th</t>
  </si>
  <si>
    <t> 65161638</t>
  </si>
  <si>
    <t> นายนราวิชญ์ ช้างแก้ว</t>
  </si>
  <si>
    <t>narawitc65@nu.ac.th</t>
  </si>
  <si>
    <t> 65161690</t>
  </si>
  <si>
    <t> นายนวพล ทรัพย์สมบัติ</t>
  </si>
  <si>
    <t>nawapons65@nu.ac.th</t>
  </si>
  <si>
    <t> 65161874</t>
  </si>
  <si>
    <t> นางสาวบัณฑิตา กุนากุล</t>
  </si>
  <si>
    <t>buntitak65@nu.ac.th</t>
  </si>
  <si>
    <t> 65162130</t>
  </si>
  <si>
    <t> นางสาวปิยะพร ดอกจำปี</t>
  </si>
  <si>
    <t>phiyaphond65@nu.ac.th</t>
  </si>
  <si>
    <t> 65162215</t>
  </si>
  <si>
    <t> นางสาวพรทิพย์ มาราช</t>
  </si>
  <si>
    <t>pornthipm65@nu.ac.th</t>
  </si>
  <si>
    <t> 65162291</t>
  </si>
  <si>
    <t> นางสาวพัณณิตา กองสุวรรณ</t>
  </si>
  <si>
    <t>pannitak65@nu.ac.th</t>
  </si>
  <si>
    <t> 65162345</t>
  </si>
  <si>
    <t> นางสาวพิมพ์นภา ทองอิ่น</t>
  </si>
  <si>
    <t>pimnapat65@nu.ac.th</t>
  </si>
  <si>
    <t> 65162932</t>
  </si>
  <si>
    <t> นางสาววรรณรญา ฤทธิศักดิ์</t>
  </si>
  <si>
    <t>wanlayar65@nu.ac.th</t>
  </si>
  <si>
    <t> 65163243</t>
  </si>
  <si>
    <t> นายศุภวิชญ์ พระยาชัย</t>
  </si>
  <si>
    <t>supawichp65@nu.ac.th</t>
  </si>
  <si>
    <t> 65163267</t>
  </si>
  <si>
    <t> นางสาวศุภากร พุ่มไพจิตร</t>
  </si>
  <si>
    <t>supakornp65@nu.ac.th</t>
  </si>
  <si>
    <t> 65163489</t>
  </si>
  <si>
    <t> นางสาวสุนิษา อูบคำ</t>
  </si>
  <si>
    <t>sunisao65@nu.ac.th</t>
  </si>
  <si>
    <t> 65163526</t>
  </si>
  <si>
    <t> นางสาวสุภัทรา พรมพุก</t>
  </si>
  <si>
    <t>suphatthap65@nu.ac.th</t>
  </si>
  <si>
    <t> 65163533</t>
  </si>
  <si>
    <t> นางสาวสุภาวิดา พึ่งเกิด</t>
  </si>
  <si>
    <t>supawidap65@nu.ac.th</t>
  </si>
  <si>
    <t> 65163564</t>
  </si>
  <si>
    <t> นางสาวสุวิชาดา อำไพทอง</t>
  </si>
  <si>
    <t>suwichadaa65@nu.ac.th</t>
  </si>
  <si>
    <t> 65163595</t>
  </si>
  <si>
    <t> นายอชิรวัชร บุญธรรม</t>
  </si>
  <si>
    <t>achirawatb65@nu.ac.th</t>
  </si>
  <si>
    <t> 65163618</t>
  </si>
  <si>
    <t> นางสาวอติมา สุทิน</t>
  </si>
  <si>
    <t>atimas65@nu.ac.th</t>
  </si>
  <si>
    <t>สำนักงานสิ่งแวดล้อมและควบคุมมลพิษที่ 13 (จังหวัดชลบุรี)</t>
  </si>
  <si>
    <t>31/2 หมู่ที่ 4 ถนน พระยาสัจจา ตำบล บ้านสวน อำเภอเมืองชลบุรี ชลบุรี 20000</t>
  </si>
  <si>
    <t>097-3204183</t>
  </si>
  <si>
    <t>065-0196344</t>
  </si>
  <si>
    <t>โรงไฟฟ้าทิพย์สุโขทัย ไบโอเอนเนอร์ยี่ จำกัด</t>
  </si>
  <si>
    <t>100 หมู่ 9 ตำบลบ้านตึก อำเภอศรีสัชนาลัย จังหวัดสุโขทัย 64130</t>
  </si>
  <si>
    <t>062-4274450</t>
  </si>
  <si>
    <t>สถาบันสิ่งแวดล้อมไทย</t>
  </si>
  <si>
    <t>6/151 เมืองทองธานี บอนด์สตรีท ตำบลบางพูด อำเภอปากเกร็ด จังหวัดนนทบุรี 11120</t>
  </si>
  <si>
    <t>063-1654902</t>
  </si>
  <si>
    <t>098-5059118</t>
  </si>
  <si>
    <t>กรมควบคุมมลพิษ กองจัดการกากของเสียและสารสิ่งแวดล้อม</t>
  </si>
  <si>
    <t>92 ซอยพหลโยธิน 7 ถนนพหลโยธิน แขวงพญาไท เขตพญาไท กรุงเทพมหานคร 10400</t>
  </si>
  <si>
    <t>094-4736014</t>
  </si>
  <si>
    <t>สำนักงานสิ่งแวดล้อมและควบคุมมลพิษที่ 3 (จังหวัดพิษณุโลก)</t>
  </si>
  <si>
    <t>498/5 ถนน พิษณุโลก - วังทอง ตำบลวังทอง อำเภอวังทอง พิษณุโลก 65130</t>
  </si>
  <si>
    <t>สำนักงานทรัพยากรธรรมชาติและสิ่งแวดล้อมจังหวัดตาก</t>
  </si>
  <si>
    <t>ชั้น 2 ศาลากลางจังหวัดตาก หลังเก่า ถนนพหลโยธิน อำเภอเมือง จังหวัดตาก  63000</t>
  </si>
  <si>
    <t>097-9461437</t>
  </si>
  <si>
    <t>095-6735859</t>
  </si>
  <si>
    <t>099-3767009</t>
  </si>
  <si>
    <t>064-0372698</t>
  </si>
  <si>
    <t>063-6675600</t>
  </si>
  <si>
    <t>โรงบำบัดน้ำเสียซอยวัดบุญย์กัญจนาราม  เมืองพัทยา</t>
  </si>
  <si>
    <t>เมืองพัทยา จังหวัดชลบุรี</t>
  </si>
  <si>
    <t>087-5211878</t>
  </si>
  <si>
    <t>092-9760431</t>
  </si>
  <si>
    <t>สำนักงานสิ่งแวดล้อมและควบคุมมลพิษที่ 2 (จังหวัดลำปาง)</t>
  </si>
  <si>
    <t>13 ถนนป่าขาม1 ตำบลหัวเวียง อำเภอเมือง จังหวัดลำปาง 52000</t>
  </si>
  <si>
    <t>062-0325670</t>
  </si>
  <si>
    <t>082-2011494</t>
  </si>
  <si>
    <t>บริษัท สยาม แมททีเรียล เอ็กเชนจ์ จำกัด</t>
  </si>
  <si>
    <t>85/261 ถนนเพชรเกษม 93 ตำบลอ้อมน้อย อำเภอกระทุ่มแบน จังหวัดสมุทรสาคร 74130</t>
  </si>
  <si>
    <t>064-1671065</t>
  </si>
  <si>
    <t>083-0769625</t>
  </si>
  <si>
    <t>บริษัท ไพน์ซีส เอโวลูชั่น จำกัด</t>
  </si>
  <si>
    <t>117/83 ม.18 อำเภอคลองหลวง จังหวัดปทุมธานี 1212</t>
  </si>
  <si>
    <t>080-8387759</t>
  </si>
  <si>
    <t>095-6249507</t>
  </si>
  <si>
    <t>บริษัท ปตท.สำรวจและผลิตปิโตรเลียม จำกัด(มหาชน) โครงการเอส 1</t>
  </si>
  <si>
    <t>133 หมู่ที่ 2 ถนนลานกระบือ ตำบลลานกระบือ อำเภอลานกระบือ จังหวัดกำแพงเพชร 62170</t>
  </si>
  <si>
    <t>093-1814396</t>
  </si>
  <si>
    <t>097-1123017</t>
  </si>
  <si>
    <t>สำนักงานคณะกรรมการกำกับกิจการพลังงาน ประจำเขต 2 พิษณุโลก</t>
  </si>
  <si>
    <t>268/98 ถนนบรมไตรโลกนารถ ตำบล ในเมือง อำเภอเมืองพิษณุโลก พิษณุโลก 65000</t>
  </si>
  <si>
    <t>081-7181680</t>
  </si>
  <si>
    <t>094-9620551</t>
  </si>
  <si>
    <t>064-7296001</t>
  </si>
  <si>
    <t>065-4766196</t>
  </si>
  <si>
    <t>ศูนย์ปฏิบัติการฝนหลวงภาคเหนือตอนล่าง จังหวัดพิษณุโลก</t>
  </si>
  <si>
    <t>ตำบลอรัญญิก อำเภอเมืองพิษณุโลก จังหวัดพิษณุโลก 65000</t>
  </si>
  <si>
    <t>064-0621643</t>
  </si>
  <si>
    <t>090-4532949</t>
  </si>
  <si>
    <t>092-2671075</t>
  </si>
  <si>
    <t>สำนักงานสิ่งแวดล้อมและควบคุมมลพิษที่ 6 จังหวัดนนทบุรี</t>
  </si>
  <si>
    <t>47/100 ซอยร.พ.ศรีธัญญา ตำบลตลาดขวัญ อำเภอเมือง จังหวัดนนทบุรี 11000</t>
  </si>
  <si>
    <t>095-8276822</t>
  </si>
  <si>
    <t>081-7755214</t>
  </si>
  <si>
    <t>095-1583831</t>
  </si>
  <si>
    <t>การประปาส่วนภูมิภาคเขต 3</t>
  </si>
  <si>
    <t>128 หมู่ 3 ถ.แสงชูโต ต.ท่าผา อ.บ้านโป่ง จ.ราชบุรี 70110</t>
  </si>
  <si>
    <t>092-9966575</t>
  </si>
  <si>
    <t>บริษัท ห้องปฏิบัติการกลาง (ประเทศไทย) จำกัด (สาขาเชียงใหม่)</t>
  </si>
  <si>
    <t>164/86 หมู่ 3 ตำบลดอนแก้ว อำเภอแม่ริม จังหวัดเชียงใหม่ 50180</t>
  </si>
  <si>
    <t>064-2534676</t>
  </si>
  <si>
    <t>สรุปสถานประกอบการ สหกิจศึกษา สาขาทรัพยากรธรรมชาติและสิ่งแวดล้อม</t>
  </si>
  <si>
    <t>วันที่ปฏิบัติสหกิจศึกษา  17 พฤศจิกายน 2568 - 6 มีนาคม 2569</t>
  </si>
  <si>
    <t>เวลา</t>
  </si>
  <si>
    <t>สถานประกอบการ/รายการ</t>
  </si>
  <si>
    <t>รหัสนิสิต</t>
  </si>
  <si>
    <t>ชื่อ-สกุล</t>
  </si>
  <si>
    <t>เดินทางออกจากมหาวิทยาลัยนเรศวร</t>
  </si>
  <si>
    <t>08.00 น.</t>
  </si>
  <si>
    <t>เข้านิเทศงานนิสิต ณ บริษัท ปตท.สำรวจและผลิตปิโตรเลียม จำกัด(มหาชน) โครงการเอส 1</t>
  </si>
  <si>
    <t>เดินทางกลับมหาวิทยาลัยนเรศวรโดยสวัสดิภาพ</t>
  </si>
  <si>
    <t>หมายเหตุ-กำหนดการอาจมีการเปลี่ยนแปลงได้ตามความเหมาะสม</t>
  </si>
  <si>
    <t>กำหนดการนิเทศงานนิสิตสหกิจศึกษา สาขาทรัพยากรธรรมชาติและสิ่งแวดล้อม</t>
  </si>
  <si>
    <t>วันที่ 6 กุมภาพันธ์ 2569</t>
  </si>
  <si>
    <t>09.00-17.00</t>
  </si>
  <si>
    <t>17.00 เป็นต้น</t>
  </si>
  <si>
    <t>วันที่ 28 มกราคม 2569</t>
  </si>
  <si>
    <t>เบอร์โทรศัพท์</t>
  </si>
  <si>
    <t>05.00 น.</t>
  </si>
  <si>
    <t>ตำบลหนองปรือ อำเภอบางละมุง จังหวัดชลบุรี</t>
  </si>
  <si>
    <t>17.00 เป็นต้นไป</t>
  </si>
  <si>
    <t>เดินทางเข้าที่พัก</t>
  </si>
  <si>
    <t>13.00-17.00</t>
  </si>
  <si>
    <t>วันที่ 29 มกราคม 2569</t>
  </si>
  <si>
    <t>เดินทางออกจากที่พัก</t>
  </si>
  <si>
    <t>16.00 เป็นต้นไป</t>
  </si>
  <si>
    <t>วันที่ 30 มกราคม 2569</t>
  </si>
  <si>
    <t>09.00-16.00</t>
  </si>
  <si>
    <t>09.00-12.00</t>
  </si>
  <si>
    <t>12.00 เป็นต้น</t>
  </si>
  <si>
    <t xml:space="preserve">สาขานิคมอมตะซิตี้ 111/50 หมู่ 6 ตำบลดอนหัวฬ่อ </t>
  </si>
  <si>
    <t>อำเภอเมือง จังหวัดชลบุรี</t>
  </si>
  <si>
    <t xml:space="preserve">31/2 หมู่ที่ 4 ถนน พระยาสัจจา ตำบลบ้านสวน </t>
  </si>
  <si>
    <t>อำเภอเมืองชลบุรี จังหวัดชลบุรี 20000</t>
  </si>
  <si>
    <t>15.00-16.00</t>
  </si>
  <si>
    <t>สำหรับออกใบเสร็จค่าโรงแรม</t>
  </si>
  <si>
    <t>ที่อยู่</t>
  </si>
  <si>
    <t>ค่าน้ำมันเชื้อเพลิง(ไม่ต้องมีใบเสร็จ)</t>
  </si>
  <si>
    <t>รวมเงินยืม</t>
  </si>
  <si>
    <t>บาท</t>
  </si>
  <si>
    <t xml:space="preserve">ชื่อ/นาม </t>
  </si>
  <si>
    <t xml:space="preserve">คณะเกษตรศาสตร์ ทรัพยากรธรรมชาติและสิ่งแวดล้อม มหาวิทยาลัยนเรศวร </t>
  </si>
  <si>
    <t>99 หมู่ 9 ตำบลท่าโพธิ์  อำเภอเมือง จังหวัดพิษณุโลก 65000</t>
  </si>
  <si>
    <t xml:space="preserve">เลขที่ผู้เสียภาษี  </t>
  </si>
  <si>
    <t>099-4-00047788-1</t>
  </si>
  <si>
    <t>**หมายเหตุ-โปรดออกใบเสร็จพร้อมFolio ค่ะ**</t>
  </si>
  <si>
    <t>12.00 น.</t>
  </si>
  <si>
    <t>13.00-16.00</t>
  </si>
  <si>
    <t>16.00 เป็นต้น</t>
  </si>
  <si>
    <t>วันที่ 9 กุมภาพันธ์ 2569</t>
  </si>
  <si>
    <t>14.00-15.00</t>
  </si>
  <si>
    <t>10.00-11.00</t>
  </si>
  <si>
    <t>13.00-14.00</t>
  </si>
  <si>
    <t>วันที่ 10 กุมภาพันธ์ 2569</t>
  </si>
  <si>
    <t>15.00 เป็นต้นไป</t>
  </si>
  <si>
    <t>14.00 เป็นต้น</t>
  </si>
  <si>
    <t xml:space="preserve">92 ซอยพหลโยธิน 7 ถนนพหลโยธิน แขวงพญาไท เขตพญาไท </t>
  </si>
  <si>
    <t>กรุงเทพมหานคร 10400</t>
  </si>
  <si>
    <t xml:space="preserve">47/100 ซอยร.พ.ศรีธัญญา ตำบลตลาดขวัญ อำเภอเมือง </t>
  </si>
  <si>
    <t>จังหวัดนนทบุรี 11000</t>
  </si>
  <si>
    <t>06.00 น.</t>
  </si>
  <si>
    <t>14.00-16.00</t>
  </si>
  <si>
    <t>10.00-12.00</t>
  </si>
  <si>
    <t>13.00-15.00</t>
  </si>
  <si>
    <t>15.00 เป็นต้น</t>
  </si>
  <si>
    <t>วันที่ 19 กุมภาพันธ์ 2569</t>
  </si>
  <si>
    <t>08.30-10.00</t>
  </si>
  <si>
    <t>วันที่ 20 กุมภาพันธ์ 2569</t>
  </si>
  <si>
    <t>14.00-17.00</t>
  </si>
  <si>
    <t>10.00-15.00</t>
  </si>
  <si>
    <t xml:space="preserve">13 ถนนป่าขาม1 ตำบลหัวเวียง อำเภอเมือง </t>
  </si>
  <si>
    <t>จังหวัดลำปาง 52000</t>
  </si>
  <si>
    <t xml:space="preserve">164/86 หมู่ 3 ตำบลดอนแก้ว อำเภอแม่ริม </t>
  </si>
  <si>
    <t>จังหวัดเชียงใหม่ 50180</t>
  </si>
  <si>
    <t xml:space="preserve">100 หมู่ 9 ตำบลบ้านตึก อำเภอศรีสัชนาลัย </t>
  </si>
  <si>
    <t>จังหวัดสุโขทัย 64130</t>
  </si>
  <si>
    <t xml:space="preserve">บริษัท ห้องปฏิบัติการกลาง (ประเทศไทย) จำกัด </t>
  </si>
  <si>
    <t>รายละเอียดค่าใช้จ่ายสำหรับเดินทางไปนิเทศงานนิสิต วันที่ 9-10 ก.พ. 2569</t>
  </si>
  <si>
    <t>ค่าเบี้ยเลี้ยง (240 บาทx 2วัน)</t>
  </si>
  <si>
    <t>ค่าที่พัก (1,500บาทx1ห้องx1วัน)</t>
  </si>
  <si>
    <t>ผศ.ดร.ณิชากร  คอนดี</t>
  </si>
  <si>
    <t>09.00 น.</t>
  </si>
  <si>
    <t>12.00 เป็นต้นไป</t>
  </si>
  <si>
    <t>รศ.ดร.เสวียน  เปรมประสิทธิ์</t>
  </si>
  <si>
    <t>รายละเอียดค่าใช้จ่ายสำหรับเดินทางไปนิเทศงานนิสิต วันที่ 19-20 ก.พ. 2569</t>
  </si>
  <si>
    <t>ค่าเบี้ยเลี้ยง (270 บาทx 2วัน)</t>
  </si>
  <si>
    <t>ค่าที่พัก (1,016บาทx1ห้องx1วัน)</t>
  </si>
  <si>
    <t>ได้รับ งปม.จากคณะ</t>
  </si>
  <si>
    <t>รับ</t>
  </si>
  <si>
    <t>จ่าย</t>
  </si>
  <si>
    <t>คงเหลือ</t>
  </si>
  <si>
    <t>ค่าใช้จ่าย นิเทศ 6 ก.พ.69 (อ.กณิตา)</t>
  </si>
  <si>
    <t>ค่าใช้จ่าย นิเทศ 28-30 ม.ค.69 (อ.กฤษฏา)</t>
  </si>
  <si>
    <t>ค่าใช้จ่าย นิเทศ 9-10 ก.พ.69 (อ.ณิชากร)</t>
  </si>
  <si>
    <t>ประมาณการค่าใช้จ่าย นิเทศ 19-20 ก.พ.69 (อ.เสวียน)</t>
  </si>
  <si>
    <t>รายการ</t>
  </si>
  <si>
    <t>ลำดับ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</si>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</sst>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b/>
      <sz val="15"/>
      <color theme="1"/>
      <name val="TH SarabunPSK"/>
      <family val="2"/>
    </font>
    <font>
      <sz val="15"/>
      <color theme="1"/>
      <name val="TH SarabunPSK"/>
      <family val="2"/>
    </font>
    <font>
      <sz val="11"/>
      <color rgb="FFFF000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0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2" fillId="0" borderId="16" xfId="0" applyFont="1" applyBorder="1"/>
    <xf numFmtId="187" fontId="2" fillId="0" borderId="16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center"/>
    </xf>
    <xf numFmtId="0" fontId="4" fillId="0" borderId="16" xfId="0" applyFont="1" applyBorder="1"/>
    <xf numFmtId="187" fontId="4" fillId="0" borderId="16" xfId="1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 applyAlignment="1">
      <alignment horizontal="center"/>
    </xf>
    <xf numFmtId="0" fontId="7" fillId="0" borderId="3" xfId="0" applyFont="1" applyBorder="1"/>
    <xf numFmtId="0" fontId="7" fillId="0" borderId="10" xfId="0" applyFont="1" applyBorder="1"/>
    <xf numFmtId="0" fontId="7" fillId="0" borderId="12" xfId="0" applyFont="1" applyBorder="1" applyAlignment="1">
      <alignment horizontal="center"/>
    </xf>
    <xf numFmtId="0" fontId="7" fillId="0" borderId="0" xfId="0" applyFont="1" applyBorder="1"/>
    <xf numFmtId="0" fontId="7" fillId="0" borderId="12" xfId="0" applyFont="1" applyBorder="1"/>
    <xf numFmtId="0" fontId="7" fillId="0" borderId="11" xfId="0" applyFont="1" applyBorder="1" applyAlignment="1">
      <alignment horizontal="center"/>
    </xf>
    <xf numFmtId="0" fontId="7" fillId="0" borderId="1" xfId="0" applyFont="1" applyBorder="1"/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1" fillId="2" borderId="0" xfId="0" applyFont="1" applyFill="1"/>
    <xf numFmtId="187" fontId="0" fillId="0" borderId="0" xfId="1" applyNumberFormat="1" applyFont="1"/>
    <xf numFmtId="187" fontId="0" fillId="0" borderId="0" xfId="0" applyNumberFormat="1"/>
    <xf numFmtId="187" fontId="8" fillId="0" borderId="16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87" fontId="0" fillId="0" borderId="16" xfId="0" applyNumberFormat="1" applyBorder="1"/>
    <xf numFmtId="0" fontId="1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E5F7-A541-413D-ADCC-86127CE04267}">
  <dimension ref="A1:E9"/>
  <sheetViews>
    <sheetView workbookViewId="0">
      <selection activeCell="G5" sqref="G5"/>
    </sheetView>
  </sheetViews>
  <sheetFormatPr defaultRowHeight="13.8" x14ac:dyDescent="0.25"/>
  <cols>
    <col min="1" max="1" width="6.19921875" customWidth="1"/>
    <col min="2" max="2" width="41.5" customWidth="1"/>
    <col min="3" max="3" width="8.09765625" customWidth="1"/>
    <col min="4" max="4" width="8" customWidth="1"/>
  </cols>
  <sheetData>
    <row r="1" spans="1:5" x14ac:dyDescent="0.25">
      <c r="A1" s="76" t="s">
        <v>274</v>
      </c>
      <c r="B1" s="76" t="s">
        <v>273</v>
      </c>
      <c r="C1" s="76" t="s">
        <v>266</v>
      </c>
      <c r="D1" s="76" t="s">
        <v>267</v>
      </c>
      <c r="E1" s="76" t="s">
        <v>268</v>
      </c>
    </row>
    <row r="2" spans="1:5" x14ac:dyDescent="0.25">
      <c r="A2" s="76">
        <v>1</v>
      </c>
      <c r="B2" t="s">
        <v>265</v>
      </c>
      <c r="C2" s="73">
        <v>18802</v>
      </c>
    </row>
    <row r="3" spans="1:5" x14ac:dyDescent="0.25">
      <c r="A3" s="76">
        <v>2</v>
      </c>
      <c r="B3" t="s">
        <v>270</v>
      </c>
      <c r="D3" s="73">
        <v>7540</v>
      </c>
      <c r="E3" s="74">
        <f>C2-D3</f>
        <v>11262</v>
      </c>
    </row>
    <row r="4" spans="1:5" x14ac:dyDescent="0.25">
      <c r="A4" s="76">
        <v>3</v>
      </c>
      <c r="B4" t="s">
        <v>269</v>
      </c>
      <c r="D4" s="73">
        <v>487</v>
      </c>
      <c r="E4" s="74">
        <f>E3-D4</f>
        <v>10775</v>
      </c>
    </row>
    <row r="5" spans="1:5" x14ac:dyDescent="0.25">
      <c r="A5" s="76">
        <v>4</v>
      </c>
      <c r="B5" t="s">
        <v>271</v>
      </c>
      <c r="D5" s="73">
        <v>4708</v>
      </c>
      <c r="E5" s="74">
        <f>E4-D5</f>
        <v>6067</v>
      </c>
    </row>
    <row r="6" spans="1:5" ht="14.4" thickBot="1" x14ac:dyDescent="0.3">
      <c r="A6" s="76">
        <v>5</v>
      </c>
      <c r="B6" t="s">
        <v>272</v>
      </c>
      <c r="D6" s="73">
        <v>4704</v>
      </c>
      <c r="E6" s="75">
        <f>E5-D6</f>
        <v>1363</v>
      </c>
    </row>
    <row r="7" spans="1:5" ht="14.4" thickTop="1" x14ac:dyDescent="0.25"/>
    <row r="8" spans="1:5" ht="14.4" thickBot="1" x14ac:dyDescent="0.3">
      <c r="B8" s="77" t="s">
        <v>275</v>
      </c>
      <c r="D8" s="78">
        <f>SUM(D3:D7)</f>
        <v>17439</v>
      </c>
    </row>
    <row r="9" spans="1:5" ht="14.4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48A-C692-4849-BC75-767016747C01}">
  <dimension ref="A1:F61"/>
  <sheetViews>
    <sheetView tabSelected="1" zoomScaleNormal="100" workbookViewId="0">
      <selection activeCell="B5" sqref="B5"/>
    </sheetView>
  </sheetViews>
  <sheetFormatPr defaultRowHeight="18" x14ac:dyDescent="0.35"/>
  <cols>
    <col min="1" max="1" width="4.8984375" style="11" customWidth="1"/>
    <col min="2" max="2" width="57.296875" style="1" customWidth="1"/>
    <col min="3" max="3" width="8.796875" style="1"/>
    <col min="4" max="4" width="19.69921875" style="1" customWidth="1"/>
    <col min="5" max="5" width="10" style="1" customWidth="1"/>
    <col min="6" max="6" width="22.8984375" style="1" customWidth="1"/>
    <col min="7" max="16384" width="8.796875" style="1"/>
  </cols>
  <sheetData>
    <row r="1" spans="1:6" x14ac:dyDescent="0.35">
      <c r="A1" s="12" t="s">
        <v>179</v>
      </c>
    </row>
    <row r="2" spans="1:6" x14ac:dyDescent="0.35">
      <c r="A2" s="12" t="s">
        <v>180</v>
      </c>
    </row>
    <row r="3" spans="1:6" x14ac:dyDescent="0.35">
      <c r="A3" s="8">
        <v>1</v>
      </c>
      <c r="B3" s="4" t="s">
        <v>114</v>
      </c>
      <c r="C3" s="4" t="s">
        <v>69</v>
      </c>
      <c r="D3" s="4" t="s">
        <v>70</v>
      </c>
      <c r="E3" s="4" t="s">
        <v>116</v>
      </c>
      <c r="F3" s="5" t="s">
        <v>71</v>
      </c>
    </row>
    <row r="4" spans="1:6" x14ac:dyDescent="0.35">
      <c r="A4" s="9"/>
      <c r="B4" s="2" t="s">
        <v>115</v>
      </c>
      <c r="C4" s="2" t="s">
        <v>72</v>
      </c>
      <c r="D4" s="2" t="s">
        <v>73</v>
      </c>
      <c r="E4" s="2" t="s">
        <v>117</v>
      </c>
      <c r="F4" s="6" t="s">
        <v>74</v>
      </c>
    </row>
    <row r="5" spans="1:6" x14ac:dyDescent="0.35">
      <c r="A5" s="10"/>
      <c r="B5" s="3"/>
      <c r="C5" s="3"/>
      <c r="D5" s="3"/>
      <c r="E5" s="3"/>
      <c r="F5" s="7"/>
    </row>
    <row r="6" spans="1:6" x14ac:dyDescent="0.35">
      <c r="A6" s="8">
        <v>2</v>
      </c>
      <c r="B6" s="4" t="s">
        <v>118</v>
      </c>
      <c r="C6" s="4" t="s">
        <v>12</v>
      </c>
      <c r="D6" s="4" t="s">
        <v>13</v>
      </c>
      <c r="E6" s="4" t="s">
        <v>120</v>
      </c>
      <c r="F6" s="5" t="s">
        <v>14</v>
      </c>
    </row>
    <row r="7" spans="1:6" x14ac:dyDescent="0.35">
      <c r="A7" s="9"/>
      <c r="B7" s="2" t="s">
        <v>119</v>
      </c>
      <c r="C7" s="2"/>
      <c r="D7" s="2"/>
      <c r="E7" s="2"/>
      <c r="F7" s="6"/>
    </row>
    <row r="8" spans="1:6" x14ac:dyDescent="0.35">
      <c r="A8" s="10"/>
      <c r="B8" s="3"/>
      <c r="C8" s="3"/>
      <c r="D8" s="3"/>
      <c r="E8" s="3"/>
      <c r="F8" s="7"/>
    </row>
    <row r="9" spans="1:6" x14ac:dyDescent="0.35">
      <c r="A9" s="8">
        <v>3</v>
      </c>
      <c r="B9" s="4" t="s">
        <v>121</v>
      </c>
      <c r="C9" s="4" t="s">
        <v>111</v>
      </c>
      <c r="D9" s="4" t="s">
        <v>112</v>
      </c>
      <c r="E9" s="4" t="s">
        <v>123</v>
      </c>
      <c r="F9" s="5" t="s">
        <v>113</v>
      </c>
    </row>
    <row r="10" spans="1:6" x14ac:dyDescent="0.35">
      <c r="A10" s="9"/>
      <c r="B10" s="2" t="s">
        <v>122</v>
      </c>
      <c r="C10" s="2" t="s">
        <v>96</v>
      </c>
      <c r="D10" s="2" t="s">
        <v>97</v>
      </c>
      <c r="E10" s="2" t="s">
        <v>124</v>
      </c>
      <c r="F10" s="6" t="s">
        <v>98</v>
      </c>
    </row>
    <row r="11" spans="1:6" x14ac:dyDescent="0.35">
      <c r="A11" s="10"/>
      <c r="B11" s="3"/>
      <c r="C11" s="3"/>
      <c r="D11" s="3"/>
      <c r="E11" s="3"/>
      <c r="F11" s="7"/>
    </row>
    <row r="12" spans="1:6" x14ac:dyDescent="0.35">
      <c r="A12" s="8">
        <v>4</v>
      </c>
      <c r="B12" s="4" t="s">
        <v>125</v>
      </c>
      <c r="C12" s="4" t="s">
        <v>30</v>
      </c>
      <c r="D12" s="4" t="s">
        <v>31</v>
      </c>
      <c r="E12" s="4" t="s">
        <v>127</v>
      </c>
      <c r="F12" s="5" t="s">
        <v>32</v>
      </c>
    </row>
    <row r="13" spans="1:6" x14ac:dyDescent="0.35">
      <c r="A13" s="9"/>
      <c r="B13" s="2" t="s">
        <v>126</v>
      </c>
      <c r="C13" s="2"/>
      <c r="D13" s="2"/>
      <c r="E13" s="2"/>
      <c r="F13" s="6"/>
    </row>
    <row r="14" spans="1:6" x14ac:dyDescent="0.35">
      <c r="A14" s="10"/>
      <c r="B14" s="3"/>
      <c r="C14" s="3"/>
      <c r="D14" s="3"/>
      <c r="E14" s="3"/>
      <c r="F14" s="7"/>
    </row>
    <row r="15" spans="1:6" x14ac:dyDescent="0.35">
      <c r="A15" s="8">
        <v>5</v>
      </c>
      <c r="B15" s="4" t="s">
        <v>128</v>
      </c>
      <c r="C15" s="4" t="s">
        <v>63</v>
      </c>
      <c r="D15" s="4" t="s">
        <v>64</v>
      </c>
      <c r="E15" s="4" t="s">
        <v>133</v>
      </c>
      <c r="F15" s="5" t="s">
        <v>65</v>
      </c>
    </row>
    <row r="16" spans="1:6" x14ac:dyDescent="0.35">
      <c r="A16" s="9"/>
      <c r="B16" s="2" t="s">
        <v>129</v>
      </c>
      <c r="C16" s="2" t="s">
        <v>21</v>
      </c>
      <c r="D16" s="2" t="s">
        <v>22</v>
      </c>
      <c r="E16" s="2" t="s">
        <v>134</v>
      </c>
      <c r="F16" s="6" t="s">
        <v>23</v>
      </c>
    </row>
    <row r="17" spans="1:6" x14ac:dyDescent="0.35">
      <c r="A17" s="9"/>
      <c r="B17" s="2"/>
      <c r="C17" s="2" t="s">
        <v>66</v>
      </c>
      <c r="D17" s="2" t="s">
        <v>67</v>
      </c>
      <c r="E17" s="2" t="s">
        <v>135</v>
      </c>
      <c r="F17" s="6" t="s">
        <v>68</v>
      </c>
    </row>
    <row r="18" spans="1:6" x14ac:dyDescent="0.35">
      <c r="A18" s="9"/>
      <c r="B18" s="2"/>
      <c r="C18" s="2" t="s">
        <v>99</v>
      </c>
      <c r="D18" s="2" t="s">
        <v>100</v>
      </c>
      <c r="E18" s="2" t="s">
        <v>136</v>
      </c>
      <c r="F18" s="6" t="s">
        <v>101</v>
      </c>
    </row>
    <row r="19" spans="1:6" x14ac:dyDescent="0.35">
      <c r="A19" s="10"/>
      <c r="B19" s="3"/>
      <c r="C19" s="3" t="s">
        <v>45</v>
      </c>
      <c r="D19" s="3" t="s">
        <v>46</v>
      </c>
      <c r="E19" s="3"/>
      <c r="F19" s="7" t="s">
        <v>47</v>
      </c>
    </row>
    <row r="20" spans="1:6" x14ac:dyDescent="0.35">
      <c r="A20" s="8">
        <v>6</v>
      </c>
      <c r="B20" s="4" t="s">
        <v>130</v>
      </c>
      <c r="C20" s="4" t="s">
        <v>42</v>
      </c>
      <c r="D20" s="4" t="s">
        <v>43</v>
      </c>
      <c r="E20" s="4" t="s">
        <v>132</v>
      </c>
      <c r="F20" s="5" t="s">
        <v>44</v>
      </c>
    </row>
    <row r="21" spans="1:6" x14ac:dyDescent="0.35">
      <c r="A21" s="9"/>
      <c r="B21" s="2" t="s">
        <v>131</v>
      </c>
      <c r="C21" s="2"/>
      <c r="D21" s="2"/>
      <c r="E21" s="2"/>
      <c r="F21" s="6"/>
    </row>
    <row r="22" spans="1:6" x14ac:dyDescent="0.35">
      <c r="A22" s="10"/>
      <c r="B22" s="3"/>
      <c r="C22" s="3"/>
      <c r="D22" s="3"/>
      <c r="E22" s="3"/>
      <c r="F22" s="7"/>
    </row>
    <row r="23" spans="1:6" x14ac:dyDescent="0.35">
      <c r="A23" s="8">
        <v>7</v>
      </c>
      <c r="B23" s="4" t="s">
        <v>137</v>
      </c>
      <c r="C23" s="4" t="s">
        <v>39</v>
      </c>
      <c r="D23" s="4" t="s">
        <v>40</v>
      </c>
      <c r="E23" s="4" t="s">
        <v>139</v>
      </c>
      <c r="F23" s="5" t="s">
        <v>41</v>
      </c>
    </row>
    <row r="24" spans="1:6" x14ac:dyDescent="0.35">
      <c r="A24" s="9"/>
      <c r="B24" s="2" t="s">
        <v>138</v>
      </c>
      <c r="C24" s="2" t="s">
        <v>60</v>
      </c>
      <c r="D24" s="2" t="s">
        <v>61</v>
      </c>
      <c r="E24" s="2" t="s">
        <v>140</v>
      </c>
      <c r="F24" s="6" t="s">
        <v>62</v>
      </c>
    </row>
    <row r="25" spans="1:6" x14ac:dyDescent="0.35">
      <c r="A25" s="10"/>
      <c r="B25" s="3"/>
      <c r="C25" s="3"/>
      <c r="D25" s="3"/>
      <c r="E25" s="3"/>
      <c r="F25" s="7"/>
    </row>
    <row r="26" spans="1:6" x14ac:dyDescent="0.35">
      <c r="A26" s="8">
        <v>8</v>
      </c>
      <c r="B26" s="4" t="s">
        <v>141</v>
      </c>
      <c r="C26" s="4" t="s">
        <v>9</v>
      </c>
      <c r="D26" s="4" t="s">
        <v>10</v>
      </c>
      <c r="E26" s="4" t="s">
        <v>144</v>
      </c>
      <c r="F26" s="5" t="s">
        <v>11</v>
      </c>
    </row>
    <row r="27" spans="1:6" x14ac:dyDescent="0.35">
      <c r="A27" s="9"/>
      <c r="B27" s="2" t="s">
        <v>142</v>
      </c>
      <c r="C27" s="2" t="s">
        <v>90</v>
      </c>
      <c r="D27" s="2" t="s">
        <v>91</v>
      </c>
      <c r="E27" s="2" t="s">
        <v>143</v>
      </c>
      <c r="F27" s="6" t="s">
        <v>92</v>
      </c>
    </row>
    <row r="28" spans="1:6" x14ac:dyDescent="0.35">
      <c r="A28" s="10"/>
      <c r="B28" s="3"/>
      <c r="C28" s="3"/>
      <c r="D28" s="3"/>
      <c r="E28" s="3"/>
      <c r="F28" s="7"/>
    </row>
    <row r="29" spans="1:6" x14ac:dyDescent="0.35">
      <c r="A29" s="8">
        <v>9</v>
      </c>
      <c r="B29" s="4" t="s">
        <v>145</v>
      </c>
      <c r="C29" s="4" t="s">
        <v>105</v>
      </c>
      <c r="D29" s="4" t="s">
        <v>106</v>
      </c>
      <c r="E29" s="4" t="s">
        <v>147</v>
      </c>
      <c r="F29" s="5" t="s">
        <v>107</v>
      </c>
    </row>
    <row r="30" spans="1:6" x14ac:dyDescent="0.35">
      <c r="A30" s="9"/>
      <c r="B30" s="2" t="s">
        <v>146</v>
      </c>
      <c r="C30" s="2" t="s">
        <v>57</v>
      </c>
      <c r="D30" s="2" t="s">
        <v>58</v>
      </c>
      <c r="E30" s="2" t="s">
        <v>148</v>
      </c>
      <c r="F30" s="6" t="s">
        <v>59</v>
      </c>
    </row>
    <row r="31" spans="1:6" x14ac:dyDescent="0.35">
      <c r="A31" s="10"/>
      <c r="B31" s="3"/>
      <c r="C31" s="3"/>
      <c r="D31" s="3"/>
      <c r="E31" s="3"/>
      <c r="F31" s="7"/>
    </row>
    <row r="32" spans="1:6" x14ac:dyDescent="0.35">
      <c r="A32" s="8">
        <v>10</v>
      </c>
      <c r="B32" s="4" t="s">
        <v>149</v>
      </c>
      <c r="C32" s="4" t="s">
        <v>81</v>
      </c>
      <c r="D32" s="4" t="s">
        <v>82</v>
      </c>
      <c r="E32" s="4" t="s">
        <v>151</v>
      </c>
      <c r="F32" s="5" t="s">
        <v>83</v>
      </c>
    </row>
    <row r="33" spans="1:6" x14ac:dyDescent="0.35">
      <c r="A33" s="9"/>
      <c r="B33" s="2" t="s">
        <v>150</v>
      </c>
      <c r="C33" s="2" t="s">
        <v>51</v>
      </c>
      <c r="D33" s="2" t="s">
        <v>52</v>
      </c>
      <c r="E33" s="2" t="s">
        <v>152</v>
      </c>
      <c r="F33" s="6" t="s">
        <v>53</v>
      </c>
    </row>
    <row r="34" spans="1:6" x14ac:dyDescent="0.35">
      <c r="A34" s="10"/>
      <c r="B34" s="3"/>
      <c r="C34" s="3"/>
      <c r="D34" s="3"/>
      <c r="E34" s="3"/>
      <c r="F34" s="7"/>
    </row>
    <row r="35" spans="1:6" x14ac:dyDescent="0.35">
      <c r="A35" s="8">
        <v>11</v>
      </c>
      <c r="B35" s="4" t="s">
        <v>153</v>
      </c>
      <c r="C35" s="4" t="s">
        <v>0</v>
      </c>
      <c r="D35" s="4" t="s">
        <v>1</v>
      </c>
      <c r="E35" s="4" t="s">
        <v>155</v>
      </c>
      <c r="F35" s="5" t="s">
        <v>2</v>
      </c>
    </row>
    <row r="36" spans="1:6" x14ac:dyDescent="0.35">
      <c r="A36" s="9"/>
      <c r="B36" s="2" t="s">
        <v>154</v>
      </c>
      <c r="C36" s="2" t="s">
        <v>93</v>
      </c>
      <c r="D36" s="2" t="s">
        <v>94</v>
      </c>
      <c r="E36" s="2" t="s">
        <v>156</v>
      </c>
      <c r="F36" s="6" t="s">
        <v>95</v>
      </c>
    </row>
    <row r="37" spans="1:6" x14ac:dyDescent="0.35">
      <c r="A37" s="10"/>
      <c r="B37" s="3"/>
      <c r="C37" s="3"/>
      <c r="D37" s="3"/>
      <c r="E37" s="3"/>
      <c r="F37" s="7"/>
    </row>
    <row r="38" spans="1:6" x14ac:dyDescent="0.35">
      <c r="A38" s="8">
        <v>12</v>
      </c>
      <c r="B38" s="4" t="s">
        <v>157</v>
      </c>
      <c r="C38" s="4" t="s">
        <v>48</v>
      </c>
      <c r="D38" s="4" t="s">
        <v>49</v>
      </c>
      <c r="E38" s="4" t="s">
        <v>159</v>
      </c>
      <c r="F38" s="5" t="s">
        <v>50</v>
      </c>
    </row>
    <row r="39" spans="1:6" x14ac:dyDescent="0.35">
      <c r="A39" s="9"/>
      <c r="B39" s="2" t="s">
        <v>158</v>
      </c>
      <c r="C39" s="2" t="s">
        <v>54</v>
      </c>
      <c r="D39" s="2" t="s">
        <v>55</v>
      </c>
      <c r="E39" s="2" t="s">
        <v>160</v>
      </c>
      <c r="F39" s="6" t="s">
        <v>56</v>
      </c>
    </row>
    <row r="40" spans="1:6" x14ac:dyDescent="0.35">
      <c r="A40" s="9"/>
      <c r="B40" s="2"/>
      <c r="C40" s="2" t="s">
        <v>36</v>
      </c>
      <c r="D40" s="2" t="s">
        <v>37</v>
      </c>
      <c r="E40" s="2" t="s">
        <v>161</v>
      </c>
      <c r="F40" s="6" t="s">
        <v>38</v>
      </c>
    </row>
    <row r="41" spans="1:6" x14ac:dyDescent="0.35">
      <c r="A41" s="9"/>
      <c r="B41" s="2"/>
      <c r="C41" s="2" t="s">
        <v>6</v>
      </c>
      <c r="D41" s="2" t="s">
        <v>7</v>
      </c>
      <c r="E41" s="2" t="s">
        <v>162</v>
      </c>
      <c r="F41" s="6" t="s">
        <v>8</v>
      </c>
    </row>
    <row r="42" spans="1:6" x14ac:dyDescent="0.35">
      <c r="A42" s="10"/>
      <c r="B42" s="3"/>
      <c r="C42" s="3"/>
      <c r="D42" s="3"/>
      <c r="E42" s="3"/>
      <c r="F42" s="7"/>
    </row>
    <row r="43" spans="1:6" x14ac:dyDescent="0.35">
      <c r="A43" s="8">
        <v>13</v>
      </c>
      <c r="B43" s="4" t="s">
        <v>163</v>
      </c>
      <c r="C43" s="4" t="s">
        <v>78</v>
      </c>
      <c r="D43" s="4" t="s">
        <v>79</v>
      </c>
      <c r="E43" s="4" t="s">
        <v>165</v>
      </c>
      <c r="F43" s="5" t="s">
        <v>80</v>
      </c>
    </row>
    <row r="44" spans="1:6" x14ac:dyDescent="0.35">
      <c r="A44" s="9"/>
      <c r="B44" s="2" t="s">
        <v>164</v>
      </c>
      <c r="C44" s="2" t="s">
        <v>15</v>
      </c>
      <c r="D44" s="2" t="s">
        <v>16</v>
      </c>
      <c r="E44" s="2" t="s">
        <v>166</v>
      </c>
      <c r="F44" s="6" t="s">
        <v>17</v>
      </c>
    </row>
    <row r="45" spans="1:6" x14ac:dyDescent="0.35">
      <c r="A45" s="9"/>
      <c r="B45" s="2"/>
      <c r="C45" s="2" t="s">
        <v>33</v>
      </c>
      <c r="D45" s="2" t="s">
        <v>34</v>
      </c>
      <c r="E45" s="2" t="s">
        <v>167</v>
      </c>
      <c r="F45" s="6" t="s">
        <v>35</v>
      </c>
    </row>
    <row r="46" spans="1:6" x14ac:dyDescent="0.35">
      <c r="A46" s="10"/>
      <c r="B46" s="3"/>
      <c r="C46" s="3"/>
      <c r="D46" s="3"/>
      <c r="E46" s="3"/>
      <c r="F46" s="7"/>
    </row>
    <row r="47" spans="1:6" x14ac:dyDescent="0.35">
      <c r="A47" s="8">
        <v>14</v>
      </c>
      <c r="B47" s="4" t="s">
        <v>168</v>
      </c>
      <c r="C47" s="4" t="s">
        <v>3</v>
      </c>
      <c r="D47" s="4" t="s">
        <v>4</v>
      </c>
      <c r="E47" s="4" t="s">
        <v>170</v>
      </c>
      <c r="F47" s="5" t="s">
        <v>5</v>
      </c>
    </row>
    <row r="48" spans="1:6" x14ac:dyDescent="0.35">
      <c r="A48" s="9"/>
      <c r="B48" s="2" t="s">
        <v>169</v>
      </c>
      <c r="C48" s="2" t="s">
        <v>18</v>
      </c>
      <c r="D48" s="2" t="s">
        <v>19</v>
      </c>
      <c r="E48" s="2" t="s">
        <v>171</v>
      </c>
      <c r="F48" s="6" t="s">
        <v>20</v>
      </c>
    </row>
    <row r="49" spans="1:6" x14ac:dyDescent="0.35">
      <c r="A49" s="9"/>
      <c r="B49" s="2"/>
      <c r="C49" s="2" t="s">
        <v>102</v>
      </c>
      <c r="D49" s="2" t="s">
        <v>103</v>
      </c>
      <c r="E49" s="2" t="s">
        <v>172</v>
      </c>
      <c r="F49" s="6" t="s">
        <v>104</v>
      </c>
    </row>
    <row r="50" spans="1:6" x14ac:dyDescent="0.35">
      <c r="A50" s="10"/>
      <c r="B50" s="3"/>
      <c r="C50" s="3"/>
      <c r="D50" s="3"/>
      <c r="E50" s="3"/>
      <c r="F50" s="7"/>
    </row>
    <row r="51" spans="1:6" x14ac:dyDescent="0.35">
      <c r="A51" s="8">
        <v>15</v>
      </c>
      <c r="B51" s="4" t="s">
        <v>173</v>
      </c>
      <c r="C51" s="4" t="s">
        <v>27</v>
      </c>
      <c r="D51" s="4" t="s">
        <v>28</v>
      </c>
      <c r="E51" s="4" t="s">
        <v>175</v>
      </c>
      <c r="F51" s="5" t="s">
        <v>29</v>
      </c>
    </row>
    <row r="52" spans="1:6" x14ac:dyDescent="0.35">
      <c r="A52" s="9"/>
      <c r="B52" s="2" t="s">
        <v>174</v>
      </c>
      <c r="C52" s="2"/>
      <c r="D52" s="2"/>
      <c r="E52" s="2"/>
      <c r="F52" s="6"/>
    </row>
    <row r="53" spans="1:6" x14ac:dyDescent="0.35">
      <c r="A53" s="10"/>
      <c r="B53" s="3"/>
      <c r="C53" s="3"/>
      <c r="D53" s="3"/>
      <c r="E53" s="3"/>
      <c r="F53" s="7"/>
    </row>
    <row r="54" spans="1:6" x14ac:dyDescent="0.35">
      <c r="A54" s="8">
        <v>16</v>
      </c>
      <c r="B54" s="4" t="s">
        <v>176</v>
      </c>
      <c r="C54" s="4" t="s">
        <v>87</v>
      </c>
      <c r="D54" s="4" t="s">
        <v>88</v>
      </c>
      <c r="E54" s="4" t="s">
        <v>178</v>
      </c>
      <c r="F54" s="5" t="s">
        <v>89</v>
      </c>
    </row>
    <row r="55" spans="1:6" x14ac:dyDescent="0.35">
      <c r="A55" s="9"/>
      <c r="B55" s="2" t="s">
        <v>177</v>
      </c>
      <c r="C55" s="2"/>
      <c r="D55" s="2"/>
      <c r="E55" s="2"/>
      <c r="F55" s="6"/>
    </row>
    <row r="56" spans="1:6" x14ac:dyDescent="0.35">
      <c r="A56" s="10"/>
      <c r="B56" s="3"/>
      <c r="C56" s="3"/>
      <c r="D56" s="3"/>
      <c r="E56" s="3"/>
      <c r="F56" s="7"/>
    </row>
    <row r="58" spans="1:6" x14ac:dyDescent="0.35">
      <c r="C58" s="72" t="s">
        <v>24</v>
      </c>
      <c r="D58" s="72" t="s">
        <v>25</v>
      </c>
      <c r="F58" s="1" t="s">
        <v>26</v>
      </c>
    </row>
    <row r="59" spans="1:6" x14ac:dyDescent="0.35">
      <c r="C59" s="72" t="s">
        <v>75</v>
      </c>
      <c r="D59" s="72" t="s">
        <v>76</v>
      </c>
      <c r="E59" s="72"/>
      <c r="F59" s="72" t="s">
        <v>77</v>
      </c>
    </row>
    <row r="60" spans="1:6" x14ac:dyDescent="0.35">
      <c r="C60" s="72" t="s">
        <v>84</v>
      </c>
      <c r="D60" s="72" t="s">
        <v>85</v>
      </c>
      <c r="E60" s="72"/>
      <c r="F60" s="72" t="s">
        <v>86</v>
      </c>
    </row>
    <row r="61" spans="1:6" x14ac:dyDescent="0.35">
      <c r="C61" s="1" t="s">
        <v>108</v>
      </c>
      <c r="D61" s="1" t="s">
        <v>109</v>
      </c>
      <c r="F61" s="1" t="s">
        <v>110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5CA6-1CF5-4112-AD41-6640390A1065}">
  <dimension ref="A1:D10"/>
  <sheetViews>
    <sheetView zoomScaleNormal="100" workbookViewId="0">
      <selection activeCell="A10" sqref="A10"/>
    </sheetView>
  </sheetViews>
  <sheetFormatPr defaultRowHeight="18" x14ac:dyDescent="0.35"/>
  <cols>
    <col min="1" max="1" width="9.09765625" style="11" customWidth="1"/>
    <col min="2" max="2" width="57.296875" style="1" customWidth="1"/>
    <col min="3" max="3" width="8.796875" style="1"/>
    <col min="4" max="4" width="17.8984375" style="1" customWidth="1"/>
    <col min="5" max="16384" width="8.796875" style="1"/>
  </cols>
  <sheetData>
    <row r="1" spans="1:4" x14ac:dyDescent="0.35">
      <c r="A1" s="80" t="s">
        <v>190</v>
      </c>
      <c r="B1" s="80"/>
      <c r="C1" s="80"/>
      <c r="D1" s="80"/>
    </row>
    <row r="2" spans="1:4" ht="28.2" customHeight="1" x14ac:dyDescent="0.35">
      <c r="A2" s="12" t="s">
        <v>191</v>
      </c>
    </row>
    <row r="3" spans="1:4" x14ac:dyDescent="0.35">
      <c r="A3" s="21" t="s">
        <v>181</v>
      </c>
      <c r="B3" s="21" t="s">
        <v>182</v>
      </c>
      <c r="C3" s="21" t="s">
        <v>183</v>
      </c>
      <c r="D3" s="21" t="s">
        <v>184</v>
      </c>
    </row>
    <row r="4" spans="1:4" x14ac:dyDescent="0.35">
      <c r="A4" s="16" t="s">
        <v>186</v>
      </c>
      <c r="B4" s="79" t="s">
        <v>185</v>
      </c>
      <c r="C4" s="79"/>
      <c r="D4" s="79"/>
    </row>
    <row r="5" spans="1:4" x14ac:dyDescent="0.35">
      <c r="A5" s="17" t="s">
        <v>192</v>
      </c>
      <c r="B5" s="13" t="s">
        <v>187</v>
      </c>
      <c r="C5" s="4" t="s">
        <v>0</v>
      </c>
      <c r="D5" s="13" t="s">
        <v>1</v>
      </c>
    </row>
    <row r="6" spans="1:4" x14ac:dyDescent="0.35">
      <c r="A6" s="18"/>
      <c r="B6" s="14" t="s">
        <v>154</v>
      </c>
      <c r="C6" s="2" t="s">
        <v>93</v>
      </c>
      <c r="D6" s="14" t="s">
        <v>94</v>
      </c>
    </row>
    <row r="7" spans="1:4" x14ac:dyDescent="0.35">
      <c r="A7" s="16"/>
      <c r="B7" s="15"/>
      <c r="C7" s="3"/>
      <c r="D7" s="15"/>
    </row>
    <row r="8" spans="1:4" x14ac:dyDescent="0.35">
      <c r="A8" s="19" t="s">
        <v>193</v>
      </c>
      <c r="B8" s="79" t="s">
        <v>188</v>
      </c>
      <c r="C8" s="79"/>
      <c r="D8" s="79"/>
    </row>
    <row r="10" spans="1:4" x14ac:dyDescent="0.35">
      <c r="A10" s="12" t="s">
        <v>189</v>
      </c>
    </row>
  </sheetData>
  <mergeCells count="3">
    <mergeCell ref="B8:D8"/>
    <mergeCell ref="B4:D4"/>
    <mergeCell ref="A1:D1"/>
  </mergeCells>
  <pageMargins left="0" right="0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9D02-ABCC-4056-8E09-9DDE55A609C5}">
  <dimension ref="A1:E24"/>
  <sheetViews>
    <sheetView topLeftCell="A19" zoomScaleNormal="100" workbookViewId="0">
      <selection activeCell="B14" sqref="B14"/>
    </sheetView>
  </sheetViews>
  <sheetFormatPr defaultRowHeight="18" x14ac:dyDescent="0.35"/>
  <cols>
    <col min="1" max="1" width="12.296875" style="11" customWidth="1"/>
    <col min="2" max="2" width="41.19921875" style="1" customWidth="1"/>
    <col min="3" max="3" width="8.796875" style="11"/>
    <col min="4" max="4" width="21.296875" style="1" customWidth="1"/>
    <col min="5" max="5" width="11" style="11" customWidth="1"/>
    <col min="6" max="16384" width="8.796875" style="1"/>
  </cols>
  <sheetData>
    <row r="1" spans="1:5" x14ac:dyDescent="0.35">
      <c r="A1" s="80" t="s">
        <v>190</v>
      </c>
      <c r="B1" s="80"/>
      <c r="C1" s="80"/>
      <c r="D1" s="80"/>
      <c r="E1" s="80"/>
    </row>
    <row r="2" spans="1:5" x14ac:dyDescent="0.35">
      <c r="A2" s="12"/>
    </row>
    <row r="3" spans="1:5" ht="40.049999999999997" customHeight="1" x14ac:dyDescent="0.35">
      <c r="A3" s="12" t="s">
        <v>194</v>
      </c>
    </row>
    <row r="4" spans="1:5" x14ac:dyDescent="0.35">
      <c r="A4" s="21" t="s">
        <v>181</v>
      </c>
      <c r="B4" s="21" t="s">
        <v>182</v>
      </c>
      <c r="C4" s="21" t="s">
        <v>183</v>
      </c>
      <c r="D4" s="21" t="s">
        <v>184</v>
      </c>
      <c r="E4" s="21" t="s">
        <v>195</v>
      </c>
    </row>
    <row r="5" spans="1:5" x14ac:dyDescent="0.35">
      <c r="A5" s="16" t="s">
        <v>196</v>
      </c>
      <c r="B5" s="81" t="s">
        <v>185</v>
      </c>
      <c r="C5" s="82"/>
      <c r="D5" s="82"/>
      <c r="E5" s="83"/>
    </row>
    <row r="6" spans="1:5" x14ac:dyDescent="0.35">
      <c r="A6" s="17" t="s">
        <v>200</v>
      </c>
      <c r="B6" s="4" t="s">
        <v>145</v>
      </c>
      <c r="C6" s="23" t="s">
        <v>105</v>
      </c>
      <c r="D6" s="4" t="s">
        <v>106</v>
      </c>
      <c r="E6" s="23" t="s">
        <v>147</v>
      </c>
    </row>
    <row r="7" spans="1:5" x14ac:dyDescent="0.35">
      <c r="A7" s="24"/>
      <c r="B7" s="2" t="s">
        <v>208</v>
      </c>
      <c r="C7" s="24" t="s">
        <v>57</v>
      </c>
      <c r="D7" s="2" t="s">
        <v>58</v>
      </c>
      <c r="E7" s="24" t="s">
        <v>148</v>
      </c>
    </row>
    <row r="8" spans="1:5" x14ac:dyDescent="0.35">
      <c r="A8" s="25"/>
      <c r="B8" s="3" t="s">
        <v>209</v>
      </c>
      <c r="C8" s="25"/>
      <c r="D8" s="3"/>
      <c r="E8" s="25"/>
    </row>
    <row r="9" spans="1:5" x14ac:dyDescent="0.35">
      <c r="A9" s="19" t="s">
        <v>198</v>
      </c>
      <c r="B9" s="81" t="s">
        <v>199</v>
      </c>
      <c r="C9" s="82"/>
      <c r="D9" s="82"/>
      <c r="E9" s="83"/>
    </row>
    <row r="10" spans="1:5" ht="40.049999999999997" customHeight="1" x14ac:dyDescent="0.35">
      <c r="A10" s="12" t="s">
        <v>201</v>
      </c>
      <c r="B10" s="22"/>
      <c r="C10" s="26"/>
      <c r="D10" s="22"/>
      <c r="E10" s="26"/>
    </row>
    <row r="11" spans="1:5" ht="16.8" customHeight="1" x14ac:dyDescent="0.35">
      <c r="A11" s="19" t="s">
        <v>186</v>
      </c>
      <c r="B11" s="81" t="s">
        <v>202</v>
      </c>
      <c r="C11" s="82"/>
      <c r="D11" s="82"/>
      <c r="E11" s="83"/>
    </row>
    <row r="12" spans="1:5" x14ac:dyDescent="0.35">
      <c r="A12" s="17" t="s">
        <v>205</v>
      </c>
      <c r="B12" s="4" t="s">
        <v>114</v>
      </c>
      <c r="C12" s="23" t="s">
        <v>69</v>
      </c>
      <c r="D12" s="13" t="s">
        <v>70</v>
      </c>
      <c r="E12" s="23" t="s">
        <v>116</v>
      </c>
    </row>
    <row r="13" spans="1:5" x14ac:dyDescent="0.35">
      <c r="A13" s="24"/>
      <c r="B13" s="2" t="s">
        <v>210</v>
      </c>
      <c r="C13" s="24" t="s">
        <v>72</v>
      </c>
      <c r="D13" s="14" t="s">
        <v>73</v>
      </c>
      <c r="E13" s="24" t="s">
        <v>117</v>
      </c>
    </row>
    <row r="14" spans="1:5" x14ac:dyDescent="0.35">
      <c r="A14" s="25"/>
      <c r="B14" s="3" t="s">
        <v>211</v>
      </c>
      <c r="C14" s="25"/>
      <c r="D14" s="15"/>
      <c r="E14" s="25"/>
    </row>
    <row r="15" spans="1:5" x14ac:dyDescent="0.35">
      <c r="A15" s="19" t="s">
        <v>203</v>
      </c>
      <c r="B15" s="81" t="s">
        <v>199</v>
      </c>
      <c r="C15" s="82"/>
      <c r="D15" s="82"/>
      <c r="E15" s="83"/>
    </row>
    <row r="16" spans="1:5" ht="40.049999999999997" customHeight="1" x14ac:dyDescent="0.35">
      <c r="A16" s="12" t="s">
        <v>204</v>
      </c>
      <c r="B16" s="22"/>
      <c r="C16" s="26"/>
      <c r="D16" s="22"/>
      <c r="E16" s="26"/>
    </row>
    <row r="17" spans="1:5" x14ac:dyDescent="0.35">
      <c r="A17" s="19" t="s">
        <v>186</v>
      </c>
      <c r="B17" s="81" t="s">
        <v>202</v>
      </c>
      <c r="C17" s="82"/>
      <c r="D17" s="82"/>
      <c r="E17" s="83"/>
    </row>
    <row r="18" spans="1:5" x14ac:dyDescent="0.35">
      <c r="A18" s="17" t="s">
        <v>206</v>
      </c>
      <c r="B18" s="13" t="s">
        <v>137</v>
      </c>
      <c r="C18" s="23" t="s">
        <v>39</v>
      </c>
      <c r="D18" s="4" t="s">
        <v>40</v>
      </c>
      <c r="E18" s="23" t="s">
        <v>139</v>
      </c>
    </row>
    <row r="19" spans="1:5" x14ac:dyDescent="0.35">
      <c r="A19" s="24"/>
      <c r="B19" s="14" t="s">
        <v>197</v>
      </c>
      <c r="C19" s="24" t="s">
        <v>60</v>
      </c>
      <c r="D19" s="2" t="s">
        <v>61</v>
      </c>
      <c r="E19" s="24" t="s">
        <v>140</v>
      </c>
    </row>
    <row r="20" spans="1:5" x14ac:dyDescent="0.35">
      <c r="A20" s="25"/>
      <c r="B20" s="15"/>
      <c r="C20" s="25"/>
      <c r="D20" s="3"/>
      <c r="E20" s="25"/>
    </row>
    <row r="21" spans="1:5" x14ac:dyDescent="0.35">
      <c r="A21" s="19" t="s">
        <v>207</v>
      </c>
      <c r="B21" s="81" t="s">
        <v>188</v>
      </c>
      <c r="C21" s="82"/>
      <c r="D21" s="82"/>
      <c r="E21" s="83"/>
    </row>
    <row r="23" spans="1:5" x14ac:dyDescent="0.35">
      <c r="A23" s="12" t="s">
        <v>189</v>
      </c>
    </row>
    <row r="24" spans="1:5" x14ac:dyDescent="0.35">
      <c r="A24" s="1"/>
    </row>
  </sheetData>
  <mergeCells count="7">
    <mergeCell ref="B17:E17"/>
    <mergeCell ref="B21:E21"/>
    <mergeCell ref="A1:E1"/>
    <mergeCell ref="B5:E5"/>
    <mergeCell ref="B9:E9"/>
    <mergeCell ref="B11:E11"/>
    <mergeCell ref="B15:E15"/>
  </mergeCells>
  <pageMargins left="0" right="0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57E1-80BA-4FA1-B35A-CB21A0B4AF51}">
  <dimension ref="A1:E37"/>
  <sheetViews>
    <sheetView topLeftCell="A17" zoomScaleNormal="100" workbookViewId="0">
      <selection activeCell="A23" sqref="A23:E37"/>
    </sheetView>
  </sheetViews>
  <sheetFormatPr defaultRowHeight="18" x14ac:dyDescent="0.35"/>
  <cols>
    <col min="1" max="1" width="12.296875" style="11" customWidth="1"/>
    <col min="2" max="2" width="41.19921875" style="1" customWidth="1"/>
    <col min="3" max="3" width="8.796875" style="11"/>
    <col min="4" max="4" width="21.296875" style="1" customWidth="1"/>
    <col min="5" max="5" width="11" style="11" customWidth="1"/>
    <col min="6" max="16384" width="8.796875" style="1"/>
  </cols>
  <sheetData>
    <row r="1" spans="1:5" x14ac:dyDescent="0.35">
      <c r="A1" s="80" t="s">
        <v>190</v>
      </c>
      <c r="B1" s="80"/>
      <c r="C1" s="80"/>
      <c r="D1" s="80"/>
      <c r="E1" s="80"/>
    </row>
    <row r="2" spans="1:5" ht="26.4" customHeight="1" x14ac:dyDescent="0.35">
      <c r="A2" s="12" t="s">
        <v>194</v>
      </c>
    </row>
    <row r="3" spans="1:5" x14ac:dyDescent="0.35">
      <c r="A3" s="21" t="s">
        <v>181</v>
      </c>
      <c r="B3" s="21" t="s">
        <v>182</v>
      </c>
      <c r="C3" s="21" t="s">
        <v>183</v>
      </c>
      <c r="D3" s="21" t="s">
        <v>184</v>
      </c>
      <c r="E3" s="21" t="s">
        <v>195</v>
      </c>
    </row>
    <row r="4" spans="1:5" x14ac:dyDescent="0.35">
      <c r="A4" s="16" t="s">
        <v>186</v>
      </c>
      <c r="B4" s="81" t="s">
        <v>185</v>
      </c>
      <c r="C4" s="82"/>
      <c r="D4" s="82"/>
      <c r="E4" s="83"/>
    </row>
    <row r="5" spans="1:5" ht="26.4" customHeight="1" x14ac:dyDescent="0.35">
      <c r="A5" s="12" t="s">
        <v>201</v>
      </c>
      <c r="B5" s="22"/>
      <c r="C5" s="26"/>
      <c r="D5" s="22"/>
      <c r="E5" s="26"/>
    </row>
    <row r="6" spans="1:5" ht="16.8" customHeight="1" x14ac:dyDescent="0.35">
      <c r="A6" s="20" t="s">
        <v>186</v>
      </c>
      <c r="B6" s="81" t="s">
        <v>202</v>
      </c>
      <c r="C6" s="82"/>
      <c r="D6" s="82"/>
      <c r="E6" s="83"/>
    </row>
    <row r="7" spans="1:5" ht="16.8" customHeight="1" x14ac:dyDescent="0.35">
      <c r="A7" s="17" t="s">
        <v>206</v>
      </c>
      <c r="B7" s="4" t="s">
        <v>145</v>
      </c>
      <c r="C7" s="23" t="s">
        <v>105</v>
      </c>
      <c r="D7" s="4" t="s">
        <v>106</v>
      </c>
      <c r="E7" s="23" t="s">
        <v>147</v>
      </c>
    </row>
    <row r="8" spans="1:5" ht="16.8" customHeight="1" x14ac:dyDescent="0.35">
      <c r="A8" s="24"/>
      <c r="B8" s="2" t="s">
        <v>208</v>
      </c>
      <c r="C8" s="24" t="s">
        <v>57</v>
      </c>
      <c r="D8" s="2" t="s">
        <v>58</v>
      </c>
      <c r="E8" s="24" t="s">
        <v>148</v>
      </c>
    </row>
    <row r="9" spans="1:5" ht="16.8" customHeight="1" x14ac:dyDescent="0.35">
      <c r="A9" s="25"/>
      <c r="B9" s="3" t="s">
        <v>209</v>
      </c>
      <c r="C9" s="25"/>
      <c r="D9" s="3"/>
      <c r="E9" s="25"/>
    </row>
    <row r="10" spans="1:5" x14ac:dyDescent="0.35">
      <c r="A10" s="17" t="s">
        <v>212</v>
      </c>
      <c r="B10" s="4" t="s">
        <v>114</v>
      </c>
      <c r="C10" s="23" t="s">
        <v>69</v>
      </c>
      <c r="D10" s="13" t="s">
        <v>70</v>
      </c>
      <c r="E10" s="23" t="s">
        <v>116</v>
      </c>
    </row>
    <row r="11" spans="1:5" x14ac:dyDescent="0.35">
      <c r="A11" s="24"/>
      <c r="B11" s="2" t="s">
        <v>210</v>
      </c>
      <c r="C11" s="24" t="s">
        <v>72</v>
      </c>
      <c r="D11" s="14" t="s">
        <v>73</v>
      </c>
      <c r="E11" s="24" t="s">
        <v>117</v>
      </c>
    </row>
    <row r="12" spans="1:5" x14ac:dyDescent="0.35">
      <c r="A12" s="25"/>
      <c r="B12" s="3" t="s">
        <v>211</v>
      </c>
      <c r="C12" s="25"/>
      <c r="D12" s="15"/>
      <c r="E12" s="25"/>
    </row>
    <row r="13" spans="1:5" x14ac:dyDescent="0.35">
      <c r="A13" s="20" t="s">
        <v>203</v>
      </c>
      <c r="B13" s="81" t="s">
        <v>199</v>
      </c>
      <c r="C13" s="82"/>
      <c r="D13" s="82"/>
      <c r="E13" s="83"/>
    </row>
    <row r="14" spans="1:5" ht="27" customHeight="1" x14ac:dyDescent="0.35">
      <c r="A14" s="12" t="s">
        <v>204</v>
      </c>
      <c r="B14" s="22"/>
      <c r="C14" s="26"/>
      <c r="D14" s="22"/>
      <c r="E14" s="26"/>
    </row>
    <row r="15" spans="1:5" x14ac:dyDescent="0.35">
      <c r="A15" s="20" t="s">
        <v>186</v>
      </c>
      <c r="B15" s="81" t="s">
        <v>202</v>
      </c>
      <c r="C15" s="82"/>
      <c r="D15" s="82"/>
      <c r="E15" s="83"/>
    </row>
    <row r="16" spans="1:5" x14ac:dyDescent="0.35">
      <c r="A16" s="17" t="s">
        <v>206</v>
      </c>
      <c r="B16" s="13" t="s">
        <v>137</v>
      </c>
      <c r="C16" s="23" t="s">
        <v>39</v>
      </c>
      <c r="D16" s="4" t="s">
        <v>40</v>
      </c>
      <c r="E16" s="23" t="s">
        <v>139</v>
      </c>
    </row>
    <row r="17" spans="1:5" x14ac:dyDescent="0.35">
      <c r="A17" s="24"/>
      <c r="B17" s="14" t="s">
        <v>197</v>
      </c>
      <c r="C17" s="24" t="s">
        <v>60</v>
      </c>
      <c r="D17" s="2" t="s">
        <v>61</v>
      </c>
      <c r="E17" s="24" t="s">
        <v>140</v>
      </c>
    </row>
    <row r="18" spans="1:5" x14ac:dyDescent="0.35">
      <c r="A18" s="25"/>
      <c r="B18" s="15"/>
      <c r="C18" s="25"/>
      <c r="D18" s="3"/>
      <c r="E18" s="25"/>
    </row>
    <row r="19" spans="1:5" x14ac:dyDescent="0.35">
      <c r="A19" s="20" t="s">
        <v>207</v>
      </c>
      <c r="B19" s="81" t="s">
        <v>188</v>
      </c>
      <c r="C19" s="82"/>
      <c r="D19" s="82"/>
      <c r="E19" s="83"/>
    </row>
    <row r="21" spans="1:5" x14ac:dyDescent="0.35">
      <c r="A21" s="12"/>
    </row>
    <row r="22" spans="1:5" x14ac:dyDescent="0.35">
      <c r="A22" s="1"/>
    </row>
    <row r="23" spans="1:5" x14ac:dyDescent="0.35">
      <c r="A23" s="12" t="s">
        <v>255</v>
      </c>
    </row>
    <row r="24" spans="1:5" x14ac:dyDescent="0.35">
      <c r="A24" s="1"/>
      <c r="B24" s="28" t="s">
        <v>256</v>
      </c>
      <c r="C24" s="11">
        <v>480</v>
      </c>
      <c r="D24" s="1" t="s">
        <v>217</v>
      </c>
      <c r="E24" s="1"/>
    </row>
    <row r="25" spans="1:5" x14ac:dyDescent="0.35">
      <c r="A25" s="1"/>
      <c r="B25" s="28" t="s">
        <v>257</v>
      </c>
      <c r="C25" s="29">
        <v>1500</v>
      </c>
      <c r="D25" s="1" t="s">
        <v>217</v>
      </c>
      <c r="E25" s="1"/>
    </row>
    <row r="26" spans="1:5" x14ac:dyDescent="0.35">
      <c r="A26" s="1"/>
      <c r="B26" s="28" t="s">
        <v>215</v>
      </c>
      <c r="C26" s="29">
        <v>2928</v>
      </c>
      <c r="D26" s="1" t="s">
        <v>217</v>
      </c>
      <c r="E26" s="1"/>
    </row>
    <row r="27" spans="1:5" ht="18.600000000000001" thickBot="1" x14ac:dyDescent="0.4">
      <c r="A27" s="28"/>
      <c r="B27" s="30" t="s">
        <v>216</v>
      </c>
      <c r="C27" s="31">
        <f>SUM(C24:C26)</f>
        <v>4908</v>
      </c>
      <c r="D27" s="30" t="s">
        <v>217</v>
      </c>
    </row>
    <row r="28" spans="1:5" ht="18.600000000000001" thickTop="1" x14ac:dyDescent="0.35">
      <c r="A28" s="28"/>
    </row>
    <row r="29" spans="1:5" x14ac:dyDescent="0.35">
      <c r="A29" s="1"/>
    </row>
    <row r="30" spans="1:5" x14ac:dyDescent="0.35">
      <c r="A30" s="12" t="s">
        <v>213</v>
      </c>
    </row>
    <row r="31" spans="1:5" x14ac:dyDescent="0.35">
      <c r="A31" s="22" t="s">
        <v>218</v>
      </c>
      <c r="B31" s="2"/>
      <c r="C31" s="26"/>
      <c r="D31" s="2"/>
    </row>
    <row r="32" spans="1:5" x14ac:dyDescent="0.35">
      <c r="A32" s="32"/>
      <c r="B32" s="3" t="s">
        <v>258</v>
      </c>
      <c r="C32" s="32"/>
      <c r="D32" s="3"/>
    </row>
    <row r="33" spans="1:4" x14ac:dyDescent="0.35">
      <c r="A33" s="27" t="s">
        <v>214</v>
      </c>
      <c r="B33" s="4" t="s">
        <v>219</v>
      </c>
      <c r="C33" s="33"/>
      <c r="D33" s="4"/>
    </row>
    <row r="34" spans="1:4" x14ac:dyDescent="0.35">
      <c r="A34" s="3"/>
      <c r="B34" s="34" t="s">
        <v>220</v>
      </c>
      <c r="C34" s="32"/>
      <c r="D34" s="3"/>
    </row>
    <row r="35" spans="1:4" x14ac:dyDescent="0.35">
      <c r="A35" s="28" t="s">
        <v>221</v>
      </c>
      <c r="B35" s="1" t="s">
        <v>222</v>
      </c>
    </row>
    <row r="37" spans="1:4" x14ac:dyDescent="0.35">
      <c r="A37" s="12" t="s">
        <v>223</v>
      </c>
    </row>
  </sheetData>
  <mergeCells count="6">
    <mergeCell ref="B19:E19"/>
    <mergeCell ref="A1:E1"/>
    <mergeCell ref="B4:E4"/>
    <mergeCell ref="B6:E6"/>
    <mergeCell ref="B13:E13"/>
    <mergeCell ref="B15:E15"/>
  </mergeCells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70D3-B6E9-4DE4-9086-52202847EF4D}">
  <dimension ref="A1:E12"/>
  <sheetViews>
    <sheetView zoomScaleNormal="100" workbookViewId="0">
      <selection activeCell="A12" sqref="A12"/>
    </sheetView>
  </sheetViews>
  <sheetFormatPr defaultRowHeight="18" x14ac:dyDescent="0.35"/>
  <cols>
    <col min="1" max="1" width="10.296875" style="11" customWidth="1"/>
    <col min="2" max="2" width="47.5" style="1" customWidth="1"/>
    <col min="3" max="3" width="8" style="1" customWidth="1"/>
    <col min="4" max="4" width="16.796875" style="1" customWidth="1"/>
    <col min="5" max="5" width="11.296875" style="11" customWidth="1"/>
    <col min="6" max="16384" width="8.796875" style="1"/>
  </cols>
  <sheetData>
    <row r="1" spans="1:5" x14ac:dyDescent="0.35">
      <c r="A1" s="80" t="s">
        <v>190</v>
      </c>
      <c r="B1" s="80"/>
      <c r="C1" s="80"/>
      <c r="D1" s="80"/>
      <c r="E1" s="80"/>
    </row>
    <row r="2" spans="1:5" ht="27.6" customHeight="1" x14ac:dyDescent="0.35">
      <c r="A2" s="12" t="s">
        <v>201</v>
      </c>
    </row>
    <row r="3" spans="1:5" x14ac:dyDescent="0.35">
      <c r="A3" s="21" t="s">
        <v>181</v>
      </c>
      <c r="B3" s="21" t="s">
        <v>182</v>
      </c>
      <c r="C3" s="21" t="s">
        <v>183</v>
      </c>
      <c r="D3" s="21" t="s">
        <v>184</v>
      </c>
      <c r="E3" s="21" t="s">
        <v>195</v>
      </c>
    </row>
    <row r="4" spans="1:5" x14ac:dyDescent="0.35">
      <c r="A4" s="23" t="s">
        <v>224</v>
      </c>
      <c r="B4" s="36" t="s">
        <v>185</v>
      </c>
      <c r="C4" s="37"/>
      <c r="D4" s="37"/>
      <c r="E4" s="38"/>
    </row>
    <row r="5" spans="1:5" x14ac:dyDescent="0.35">
      <c r="A5" s="23" t="s">
        <v>225</v>
      </c>
      <c r="B5" s="4" t="s">
        <v>128</v>
      </c>
      <c r="C5" s="13" t="s">
        <v>63</v>
      </c>
      <c r="D5" s="4" t="s">
        <v>64</v>
      </c>
      <c r="E5" s="23" t="s">
        <v>133</v>
      </c>
    </row>
    <row r="6" spans="1:5" x14ac:dyDescent="0.35">
      <c r="A6" s="24"/>
      <c r="B6" s="2" t="s">
        <v>129</v>
      </c>
      <c r="C6" s="14" t="s">
        <v>21</v>
      </c>
      <c r="D6" s="2" t="s">
        <v>22</v>
      </c>
      <c r="E6" s="24" t="s">
        <v>134</v>
      </c>
    </row>
    <row r="7" spans="1:5" x14ac:dyDescent="0.35">
      <c r="A7" s="24"/>
      <c r="B7" s="2"/>
      <c r="C7" s="14" t="s">
        <v>66</v>
      </c>
      <c r="D7" s="2" t="s">
        <v>67</v>
      </c>
      <c r="E7" s="24" t="s">
        <v>135</v>
      </c>
    </row>
    <row r="8" spans="1:5" x14ac:dyDescent="0.35">
      <c r="A8" s="24"/>
      <c r="B8" s="2"/>
      <c r="C8" s="14" t="s">
        <v>99</v>
      </c>
      <c r="D8" s="2" t="s">
        <v>100</v>
      </c>
      <c r="E8" s="24" t="s">
        <v>136</v>
      </c>
    </row>
    <row r="9" spans="1:5" x14ac:dyDescent="0.35">
      <c r="A9" s="25"/>
      <c r="B9" s="3"/>
      <c r="C9" s="15" t="s">
        <v>45</v>
      </c>
      <c r="D9" s="3" t="s">
        <v>46</v>
      </c>
      <c r="E9" s="25"/>
    </row>
    <row r="10" spans="1:5" x14ac:dyDescent="0.35">
      <c r="A10" s="35" t="s">
        <v>226</v>
      </c>
      <c r="B10" s="81" t="s">
        <v>188</v>
      </c>
      <c r="C10" s="82"/>
      <c r="D10" s="82"/>
      <c r="E10" s="83"/>
    </row>
    <row r="12" spans="1:5" x14ac:dyDescent="0.35">
      <c r="A12" s="12" t="s">
        <v>189</v>
      </c>
    </row>
  </sheetData>
  <mergeCells count="2">
    <mergeCell ref="B10:E10"/>
    <mergeCell ref="A1:E1"/>
  </mergeCells>
  <pageMargins left="0" right="0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DD4E-4849-4DC1-9264-D07CD57C6ABD}">
  <dimension ref="A1:E35"/>
  <sheetViews>
    <sheetView zoomScaleNormal="100" workbookViewId="0">
      <selection activeCell="D9" sqref="D9"/>
    </sheetView>
  </sheetViews>
  <sheetFormatPr defaultRowHeight="18" x14ac:dyDescent="0.35"/>
  <cols>
    <col min="1" max="1" width="10.8984375" style="11" customWidth="1"/>
    <col min="2" max="2" width="42.796875" style="1" customWidth="1"/>
    <col min="3" max="3" width="8.796875" style="1" customWidth="1"/>
    <col min="4" max="4" width="19.8984375" style="1" customWidth="1"/>
    <col min="5" max="5" width="11.8984375" style="11" customWidth="1"/>
    <col min="6" max="16384" width="8.796875" style="1"/>
  </cols>
  <sheetData>
    <row r="1" spans="1:5" x14ac:dyDescent="0.35">
      <c r="A1" s="80" t="s">
        <v>190</v>
      </c>
      <c r="B1" s="80"/>
      <c r="C1" s="80"/>
      <c r="D1" s="80"/>
      <c r="E1" s="80"/>
    </row>
    <row r="2" spans="1:5" ht="34.950000000000003" customHeight="1" x14ac:dyDescent="0.35">
      <c r="A2" s="12" t="s">
        <v>227</v>
      </c>
    </row>
    <row r="3" spans="1:5" x14ac:dyDescent="0.35">
      <c r="A3" s="21" t="s">
        <v>181</v>
      </c>
      <c r="B3" s="21" t="s">
        <v>182</v>
      </c>
      <c r="C3" s="21" t="s">
        <v>183</v>
      </c>
      <c r="D3" s="21" t="s">
        <v>184</v>
      </c>
      <c r="E3" s="21" t="s">
        <v>195</v>
      </c>
    </row>
    <row r="4" spans="1:5" x14ac:dyDescent="0.35">
      <c r="A4" s="23" t="s">
        <v>238</v>
      </c>
      <c r="B4" s="36" t="s">
        <v>185</v>
      </c>
      <c r="C4" s="37"/>
      <c r="D4" s="37"/>
      <c r="E4" s="38"/>
    </row>
    <row r="5" spans="1:5" x14ac:dyDescent="0.35">
      <c r="A5" s="23" t="s">
        <v>228</v>
      </c>
      <c r="B5" s="4" t="s">
        <v>125</v>
      </c>
      <c r="C5" s="13" t="s">
        <v>30</v>
      </c>
      <c r="D5" s="4" t="s">
        <v>31</v>
      </c>
      <c r="E5" s="23" t="s">
        <v>127</v>
      </c>
    </row>
    <row r="6" spans="1:5" x14ac:dyDescent="0.35">
      <c r="A6" s="24"/>
      <c r="B6" s="2" t="s">
        <v>234</v>
      </c>
      <c r="C6" s="14"/>
      <c r="D6" s="2"/>
      <c r="E6" s="24"/>
    </row>
    <row r="7" spans="1:5" x14ac:dyDescent="0.35">
      <c r="A7" s="25"/>
      <c r="B7" s="3" t="s">
        <v>235</v>
      </c>
      <c r="C7" s="15"/>
      <c r="D7" s="3"/>
      <c r="E7" s="25"/>
    </row>
    <row r="8" spans="1:5" x14ac:dyDescent="0.35">
      <c r="A8" s="35" t="s">
        <v>232</v>
      </c>
      <c r="B8" s="81" t="s">
        <v>199</v>
      </c>
      <c r="C8" s="82"/>
      <c r="D8" s="82"/>
      <c r="E8" s="83"/>
    </row>
    <row r="9" spans="1:5" ht="34.950000000000003" customHeight="1" x14ac:dyDescent="0.35">
      <c r="A9" s="12" t="s">
        <v>231</v>
      </c>
    </row>
    <row r="10" spans="1:5" x14ac:dyDescent="0.35">
      <c r="A10" s="23" t="s">
        <v>186</v>
      </c>
      <c r="B10" s="37" t="s">
        <v>202</v>
      </c>
      <c r="C10" s="37"/>
      <c r="D10" s="37"/>
      <c r="E10" s="38"/>
    </row>
    <row r="11" spans="1:5" x14ac:dyDescent="0.35">
      <c r="A11" s="23" t="s">
        <v>229</v>
      </c>
      <c r="B11" s="4" t="s">
        <v>168</v>
      </c>
      <c r="C11" s="13" t="s">
        <v>3</v>
      </c>
      <c r="D11" s="4" t="s">
        <v>4</v>
      </c>
      <c r="E11" s="23" t="s">
        <v>170</v>
      </c>
    </row>
    <row r="12" spans="1:5" x14ac:dyDescent="0.35">
      <c r="A12" s="24"/>
      <c r="B12" s="2" t="s">
        <v>236</v>
      </c>
      <c r="C12" s="14" t="s">
        <v>18</v>
      </c>
      <c r="D12" s="2" t="s">
        <v>19</v>
      </c>
      <c r="E12" s="24" t="s">
        <v>171</v>
      </c>
    </row>
    <row r="13" spans="1:5" x14ac:dyDescent="0.35">
      <c r="A13" s="24"/>
      <c r="B13" s="2" t="s">
        <v>237</v>
      </c>
      <c r="C13" s="14" t="s">
        <v>102</v>
      </c>
      <c r="D13" s="2" t="s">
        <v>103</v>
      </c>
      <c r="E13" s="24" t="s">
        <v>172</v>
      </c>
    </row>
    <row r="14" spans="1:5" x14ac:dyDescent="0.35">
      <c r="A14" s="25"/>
      <c r="B14" s="3"/>
      <c r="C14" s="15"/>
      <c r="D14" s="3"/>
      <c r="E14" s="25"/>
    </row>
    <row r="15" spans="1:5" x14ac:dyDescent="0.35">
      <c r="A15" s="23" t="s">
        <v>230</v>
      </c>
      <c r="B15" s="4" t="s">
        <v>149</v>
      </c>
      <c r="C15" s="13" t="s">
        <v>81</v>
      </c>
      <c r="D15" s="4" t="s">
        <v>82</v>
      </c>
      <c r="E15" s="23" t="s">
        <v>151</v>
      </c>
    </row>
    <row r="16" spans="1:5" x14ac:dyDescent="0.35">
      <c r="A16" s="24"/>
      <c r="B16" s="2" t="s">
        <v>150</v>
      </c>
      <c r="C16" s="14" t="s">
        <v>51</v>
      </c>
      <c r="D16" s="2" t="s">
        <v>52</v>
      </c>
      <c r="E16" s="24" t="s">
        <v>152</v>
      </c>
    </row>
    <row r="17" spans="1:5" x14ac:dyDescent="0.35">
      <c r="A17" s="25"/>
      <c r="B17" s="3"/>
      <c r="C17" s="15"/>
      <c r="D17" s="3"/>
      <c r="E17" s="25"/>
    </row>
    <row r="18" spans="1:5" x14ac:dyDescent="0.35">
      <c r="A18" s="35" t="s">
        <v>233</v>
      </c>
      <c r="B18" s="81" t="s">
        <v>188</v>
      </c>
      <c r="C18" s="82"/>
      <c r="D18" s="82"/>
      <c r="E18" s="83"/>
    </row>
    <row r="19" spans="1:5" x14ac:dyDescent="0.35">
      <c r="A19" s="12" t="s">
        <v>189</v>
      </c>
    </row>
    <row r="21" spans="1:5" x14ac:dyDescent="0.35">
      <c r="A21" s="12" t="s">
        <v>255</v>
      </c>
      <c r="C21" s="11"/>
    </row>
    <row r="22" spans="1:5" x14ac:dyDescent="0.35">
      <c r="A22" s="1"/>
      <c r="B22" s="28" t="s">
        <v>256</v>
      </c>
      <c r="C22" s="11">
        <v>480</v>
      </c>
      <c r="D22" s="1" t="s">
        <v>217</v>
      </c>
    </row>
    <row r="23" spans="1:5" x14ac:dyDescent="0.35">
      <c r="A23" s="1"/>
      <c r="B23" s="28" t="s">
        <v>257</v>
      </c>
      <c r="C23" s="29">
        <v>1500</v>
      </c>
      <c r="D23" s="1" t="s">
        <v>217</v>
      </c>
    </row>
    <row r="24" spans="1:5" x14ac:dyDescent="0.35">
      <c r="A24" s="1"/>
      <c r="B24" s="28" t="s">
        <v>215</v>
      </c>
      <c r="C24" s="29">
        <v>2928</v>
      </c>
      <c r="D24" s="1" t="s">
        <v>217</v>
      </c>
    </row>
    <row r="25" spans="1:5" ht="18.600000000000001" thickBot="1" x14ac:dyDescent="0.4">
      <c r="A25" s="28"/>
      <c r="B25" s="30" t="s">
        <v>216</v>
      </c>
      <c r="C25" s="31">
        <f>SUM(C22:C24)</f>
        <v>4908</v>
      </c>
      <c r="D25" s="30" t="s">
        <v>217</v>
      </c>
    </row>
    <row r="26" spans="1:5" ht="18.600000000000001" thickTop="1" x14ac:dyDescent="0.35">
      <c r="A26" s="28"/>
      <c r="C26" s="11"/>
    </row>
    <row r="27" spans="1:5" x14ac:dyDescent="0.35">
      <c r="A27" s="1"/>
      <c r="C27" s="11"/>
    </row>
    <row r="28" spans="1:5" x14ac:dyDescent="0.35">
      <c r="A28" s="12" t="s">
        <v>213</v>
      </c>
      <c r="C28" s="11"/>
    </row>
    <row r="29" spans="1:5" x14ac:dyDescent="0.35">
      <c r="A29" s="22" t="s">
        <v>218</v>
      </c>
      <c r="B29" s="2"/>
      <c r="C29" s="26"/>
      <c r="D29" s="2"/>
    </row>
    <row r="30" spans="1:5" x14ac:dyDescent="0.35">
      <c r="A30" s="32"/>
      <c r="B30" s="3" t="s">
        <v>258</v>
      </c>
      <c r="C30" s="32"/>
      <c r="D30" s="3"/>
    </row>
    <row r="31" spans="1:5" x14ac:dyDescent="0.35">
      <c r="A31" s="27" t="s">
        <v>214</v>
      </c>
      <c r="B31" s="4" t="s">
        <v>219</v>
      </c>
      <c r="C31" s="33"/>
      <c r="D31" s="4"/>
    </row>
    <row r="32" spans="1:5" x14ac:dyDescent="0.35">
      <c r="A32" s="3"/>
      <c r="B32" s="34" t="s">
        <v>220</v>
      </c>
      <c r="C32" s="32"/>
      <c r="D32" s="3"/>
    </row>
    <row r="33" spans="1:3" x14ac:dyDescent="0.35">
      <c r="A33" s="28" t="s">
        <v>221</v>
      </c>
      <c r="B33" s="1" t="s">
        <v>222</v>
      </c>
      <c r="C33" s="11"/>
    </row>
    <row r="34" spans="1:3" x14ac:dyDescent="0.35">
      <c r="C34" s="11"/>
    </row>
    <row r="35" spans="1:3" x14ac:dyDescent="0.35">
      <c r="A35" s="12" t="s">
        <v>223</v>
      </c>
      <c r="C35" s="11"/>
    </row>
  </sheetData>
  <mergeCells count="3">
    <mergeCell ref="A1:E1"/>
    <mergeCell ref="B8:E8"/>
    <mergeCell ref="B18:E18"/>
  </mergeCells>
  <pageMargins left="0" right="0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6DFD-2847-4472-869C-C941207DB381}">
  <dimension ref="A1:E20"/>
  <sheetViews>
    <sheetView topLeftCell="A10" zoomScaleNormal="100" workbookViewId="0">
      <selection activeCell="A20" sqref="A20"/>
    </sheetView>
  </sheetViews>
  <sheetFormatPr defaultRowHeight="18" x14ac:dyDescent="0.35"/>
  <cols>
    <col min="1" max="1" width="10.8984375" style="11" customWidth="1"/>
    <col min="2" max="2" width="42.796875" style="1" customWidth="1"/>
    <col min="3" max="3" width="8.796875" style="1" customWidth="1"/>
    <col min="4" max="4" width="19.8984375" style="1" customWidth="1"/>
    <col min="5" max="5" width="11.8984375" style="11" customWidth="1"/>
    <col min="6" max="16384" width="8.796875" style="1"/>
  </cols>
  <sheetData>
    <row r="1" spans="1:5" x14ac:dyDescent="0.35">
      <c r="A1" s="80" t="s">
        <v>190</v>
      </c>
      <c r="B1" s="80"/>
      <c r="C1" s="80"/>
      <c r="D1" s="80"/>
      <c r="E1" s="80"/>
    </row>
    <row r="2" spans="1:5" ht="34.950000000000003" customHeight="1" x14ac:dyDescent="0.35">
      <c r="A2" s="12" t="s">
        <v>227</v>
      </c>
    </row>
    <row r="3" spans="1:5" x14ac:dyDescent="0.35">
      <c r="A3" s="21" t="s">
        <v>181</v>
      </c>
      <c r="B3" s="21" t="s">
        <v>182</v>
      </c>
      <c r="C3" s="21" t="s">
        <v>183</v>
      </c>
      <c r="D3" s="21" t="s">
        <v>184</v>
      </c>
      <c r="E3" s="21" t="s">
        <v>195</v>
      </c>
    </row>
    <row r="4" spans="1:5" x14ac:dyDescent="0.35">
      <c r="A4" s="23" t="s">
        <v>238</v>
      </c>
      <c r="B4" s="36" t="s">
        <v>185</v>
      </c>
      <c r="C4" s="37"/>
      <c r="D4" s="37"/>
      <c r="E4" s="38"/>
    </row>
    <row r="5" spans="1:5" x14ac:dyDescent="0.35">
      <c r="A5" s="23" t="s">
        <v>239</v>
      </c>
      <c r="B5" s="4" t="s">
        <v>125</v>
      </c>
      <c r="C5" s="13" t="s">
        <v>30</v>
      </c>
      <c r="D5" s="4" t="s">
        <v>31</v>
      </c>
      <c r="E5" s="23" t="s">
        <v>127</v>
      </c>
    </row>
    <row r="6" spans="1:5" x14ac:dyDescent="0.35">
      <c r="A6" s="24"/>
      <c r="B6" s="2" t="s">
        <v>234</v>
      </c>
      <c r="C6" s="14"/>
      <c r="D6" s="2"/>
      <c r="E6" s="24"/>
    </row>
    <row r="7" spans="1:5" x14ac:dyDescent="0.35">
      <c r="A7" s="25"/>
      <c r="B7" s="3" t="s">
        <v>235</v>
      </c>
      <c r="C7" s="15"/>
      <c r="D7" s="3"/>
      <c r="E7" s="25"/>
    </row>
    <row r="8" spans="1:5" x14ac:dyDescent="0.35">
      <c r="A8" s="35" t="s">
        <v>203</v>
      </c>
      <c r="B8" s="81" t="s">
        <v>199</v>
      </c>
      <c r="C8" s="82"/>
      <c r="D8" s="82"/>
      <c r="E8" s="83"/>
    </row>
    <row r="9" spans="1:5" ht="34.950000000000003" customHeight="1" x14ac:dyDescent="0.35">
      <c r="A9" s="12" t="s">
        <v>231</v>
      </c>
    </row>
    <row r="10" spans="1:5" x14ac:dyDescent="0.35">
      <c r="A10" s="23" t="s">
        <v>186</v>
      </c>
      <c r="B10" s="37" t="s">
        <v>202</v>
      </c>
      <c r="C10" s="37"/>
      <c r="D10" s="37"/>
      <c r="E10" s="38"/>
    </row>
    <row r="11" spans="1:5" x14ac:dyDescent="0.35">
      <c r="A11" s="23" t="s">
        <v>240</v>
      </c>
      <c r="B11" s="4" t="s">
        <v>168</v>
      </c>
      <c r="C11" s="13" t="s">
        <v>3</v>
      </c>
      <c r="D11" s="4" t="s">
        <v>4</v>
      </c>
      <c r="E11" s="23" t="s">
        <v>170</v>
      </c>
    </row>
    <row r="12" spans="1:5" x14ac:dyDescent="0.35">
      <c r="A12" s="24"/>
      <c r="B12" s="2" t="s">
        <v>236</v>
      </c>
      <c r="C12" s="14" t="s">
        <v>18</v>
      </c>
      <c r="D12" s="2" t="s">
        <v>19</v>
      </c>
      <c r="E12" s="24" t="s">
        <v>171</v>
      </c>
    </row>
    <row r="13" spans="1:5" x14ac:dyDescent="0.35">
      <c r="A13" s="24"/>
      <c r="B13" s="2" t="s">
        <v>237</v>
      </c>
      <c r="C13" s="14" t="s">
        <v>102</v>
      </c>
      <c r="D13" s="2" t="s">
        <v>103</v>
      </c>
      <c r="E13" s="24" t="s">
        <v>172</v>
      </c>
    </row>
    <row r="14" spans="1:5" x14ac:dyDescent="0.35">
      <c r="A14" s="25"/>
      <c r="B14" s="3"/>
      <c r="C14" s="15"/>
      <c r="D14" s="3"/>
      <c r="E14" s="25"/>
    </row>
    <row r="15" spans="1:5" x14ac:dyDescent="0.35">
      <c r="A15" s="23" t="s">
        <v>241</v>
      </c>
      <c r="B15" s="4" t="s">
        <v>149</v>
      </c>
      <c r="C15" s="13" t="s">
        <v>81</v>
      </c>
      <c r="D15" s="4" t="s">
        <v>82</v>
      </c>
      <c r="E15" s="23" t="s">
        <v>151</v>
      </c>
    </row>
    <row r="16" spans="1:5" x14ac:dyDescent="0.35">
      <c r="A16" s="24"/>
      <c r="B16" s="2" t="s">
        <v>150</v>
      </c>
      <c r="C16" s="14" t="s">
        <v>51</v>
      </c>
      <c r="D16" s="2" t="s">
        <v>52</v>
      </c>
      <c r="E16" s="24" t="s">
        <v>152</v>
      </c>
    </row>
    <row r="17" spans="1:5" x14ac:dyDescent="0.35">
      <c r="A17" s="25"/>
      <c r="B17" s="3"/>
      <c r="C17" s="15"/>
      <c r="D17" s="3"/>
      <c r="E17" s="25"/>
    </row>
    <row r="18" spans="1:5" x14ac:dyDescent="0.35">
      <c r="A18" s="35" t="s">
        <v>242</v>
      </c>
      <c r="B18" s="81" t="s">
        <v>188</v>
      </c>
      <c r="C18" s="82"/>
      <c r="D18" s="82"/>
      <c r="E18" s="83"/>
    </row>
    <row r="19" spans="1:5" x14ac:dyDescent="0.35">
      <c r="A19" s="1"/>
    </row>
    <row r="20" spans="1:5" x14ac:dyDescent="0.35">
      <c r="A20" s="12" t="s">
        <v>189</v>
      </c>
    </row>
  </sheetData>
  <mergeCells count="3">
    <mergeCell ref="A1:E1"/>
    <mergeCell ref="B8:E8"/>
    <mergeCell ref="B18:E18"/>
  </mergeCells>
  <pageMargins left="0" right="0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4417-2061-49E2-BFAF-C704FE9121FC}">
  <dimension ref="A1:E20"/>
  <sheetViews>
    <sheetView zoomScaleNormal="100" workbookViewId="0">
      <selection activeCell="D11" sqref="D11"/>
    </sheetView>
  </sheetViews>
  <sheetFormatPr defaultRowHeight="18" x14ac:dyDescent="0.35"/>
  <cols>
    <col min="1" max="1" width="12.796875" style="11" customWidth="1"/>
    <col min="2" max="2" width="41.8984375" style="1" customWidth="1"/>
    <col min="3" max="3" width="7.59765625" style="1" customWidth="1"/>
    <col min="4" max="4" width="19.69921875" style="1" customWidth="1"/>
    <col min="5" max="5" width="12.3984375" style="11" customWidth="1"/>
    <col min="6" max="16384" width="8.796875" style="1"/>
  </cols>
  <sheetData>
    <row r="1" spans="1:5" x14ac:dyDescent="0.35">
      <c r="A1" s="80" t="s">
        <v>190</v>
      </c>
      <c r="B1" s="80"/>
      <c r="C1" s="80"/>
      <c r="D1" s="80"/>
      <c r="E1" s="80"/>
    </row>
    <row r="2" spans="1:5" x14ac:dyDescent="0.35">
      <c r="A2" s="12" t="s">
        <v>243</v>
      </c>
    </row>
    <row r="3" spans="1:5" x14ac:dyDescent="0.35">
      <c r="A3" s="21" t="s">
        <v>181</v>
      </c>
      <c r="B3" s="21" t="s">
        <v>182</v>
      </c>
      <c r="C3" s="21" t="s">
        <v>183</v>
      </c>
      <c r="D3" s="21" t="s">
        <v>184</v>
      </c>
      <c r="E3" s="21" t="s">
        <v>195</v>
      </c>
    </row>
    <row r="4" spans="1:5" x14ac:dyDescent="0.35">
      <c r="A4" s="23" t="s">
        <v>238</v>
      </c>
      <c r="B4" s="36" t="s">
        <v>185</v>
      </c>
      <c r="C4" s="37"/>
      <c r="D4" s="37"/>
      <c r="E4" s="38"/>
    </row>
    <row r="5" spans="1:5" x14ac:dyDescent="0.35">
      <c r="A5" s="23" t="s">
        <v>244</v>
      </c>
      <c r="B5" s="4" t="s">
        <v>118</v>
      </c>
      <c r="C5" s="13" t="s">
        <v>12</v>
      </c>
      <c r="D5" s="4" t="s">
        <v>13</v>
      </c>
      <c r="E5" s="23" t="s">
        <v>120</v>
      </c>
    </row>
    <row r="6" spans="1:5" x14ac:dyDescent="0.35">
      <c r="A6" s="24"/>
      <c r="B6" s="2" t="s">
        <v>252</v>
      </c>
      <c r="C6" s="14"/>
      <c r="D6" s="2"/>
      <c r="E6" s="24"/>
    </row>
    <row r="7" spans="1:5" x14ac:dyDescent="0.35">
      <c r="A7" s="25"/>
      <c r="B7" s="3" t="s">
        <v>253</v>
      </c>
      <c r="C7" s="15"/>
      <c r="D7" s="3"/>
      <c r="E7" s="25"/>
    </row>
    <row r="8" spans="1:5" x14ac:dyDescent="0.35">
      <c r="A8" s="23" t="s">
        <v>246</v>
      </c>
      <c r="B8" s="4" t="s">
        <v>254</v>
      </c>
      <c r="C8" s="13" t="s">
        <v>87</v>
      </c>
      <c r="D8" s="4" t="s">
        <v>88</v>
      </c>
      <c r="E8" s="23" t="s">
        <v>178</v>
      </c>
    </row>
    <row r="9" spans="1:5" x14ac:dyDescent="0.35">
      <c r="A9" s="24"/>
      <c r="B9" s="2" t="s">
        <v>250</v>
      </c>
      <c r="C9" s="14"/>
      <c r="D9" s="2"/>
      <c r="E9" s="24"/>
    </row>
    <row r="10" spans="1:5" x14ac:dyDescent="0.35">
      <c r="A10" s="25"/>
      <c r="B10" s="3" t="s">
        <v>251</v>
      </c>
      <c r="C10" s="15"/>
      <c r="D10" s="3"/>
      <c r="E10" s="25"/>
    </row>
    <row r="11" spans="1:5" x14ac:dyDescent="0.35">
      <c r="A11" s="35" t="s">
        <v>198</v>
      </c>
      <c r="B11" s="36" t="s">
        <v>199</v>
      </c>
      <c r="C11" s="37"/>
      <c r="D11" s="37"/>
      <c r="E11" s="38"/>
    </row>
    <row r="13" spans="1:5" x14ac:dyDescent="0.35">
      <c r="A13" s="12" t="s">
        <v>245</v>
      </c>
    </row>
    <row r="14" spans="1:5" x14ac:dyDescent="0.35">
      <c r="A14" s="23" t="s">
        <v>186</v>
      </c>
      <c r="B14" s="36" t="s">
        <v>202</v>
      </c>
      <c r="C14" s="37"/>
      <c r="D14" s="37"/>
      <c r="E14" s="38"/>
    </row>
    <row r="15" spans="1:5" x14ac:dyDescent="0.35">
      <c r="A15" s="23" t="s">
        <v>247</v>
      </c>
      <c r="B15" s="13" t="s">
        <v>141</v>
      </c>
      <c r="C15" s="4" t="s">
        <v>9</v>
      </c>
      <c r="D15" s="13" t="s">
        <v>10</v>
      </c>
      <c r="E15" s="23" t="s">
        <v>144</v>
      </c>
    </row>
    <row r="16" spans="1:5" x14ac:dyDescent="0.35">
      <c r="A16" s="24"/>
      <c r="B16" s="14" t="s">
        <v>248</v>
      </c>
      <c r="C16" s="2" t="s">
        <v>90</v>
      </c>
      <c r="D16" s="14" t="s">
        <v>91</v>
      </c>
      <c r="E16" s="24" t="s">
        <v>143</v>
      </c>
    </row>
    <row r="17" spans="1:5" x14ac:dyDescent="0.35">
      <c r="A17" s="25"/>
      <c r="B17" s="15" t="s">
        <v>249</v>
      </c>
      <c r="C17" s="3"/>
      <c r="D17" s="15"/>
      <c r="E17" s="25"/>
    </row>
    <row r="18" spans="1:5" x14ac:dyDescent="0.35">
      <c r="A18" s="35" t="s">
        <v>232</v>
      </c>
      <c r="B18" s="81" t="s">
        <v>188</v>
      </c>
      <c r="C18" s="82"/>
      <c r="D18" s="82"/>
      <c r="E18" s="83"/>
    </row>
    <row r="20" spans="1:5" x14ac:dyDescent="0.35">
      <c r="A20" s="12" t="s">
        <v>189</v>
      </c>
    </row>
  </sheetData>
  <mergeCells count="2">
    <mergeCell ref="A1:E1"/>
    <mergeCell ref="B18:E18"/>
  </mergeCells>
  <pageMargins left="0" right="0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A2B-96B1-492A-9ED7-16219006A71A}">
  <dimension ref="A1:E35"/>
  <sheetViews>
    <sheetView topLeftCell="A10" zoomScaleNormal="100" workbookViewId="0">
      <selection activeCell="D21" sqref="D21"/>
    </sheetView>
  </sheetViews>
  <sheetFormatPr defaultRowHeight="18" x14ac:dyDescent="0.35"/>
  <cols>
    <col min="1" max="1" width="14.796875" style="11" customWidth="1"/>
    <col min="2" max="2" width="38.8984375" style="1" customWidth="1"/>
    <col min="3" max="3" width="9.296875" style="1" customWidth="1"/>
    <col min="4" max="4" width="20" style="1" customWidth="1"/>
    <col min="5" max="5" width="11.5" style="11" customWidth="1"/>
    <col min="6" max="16384" width="8.796875" style="1"/>
  </cols>
  <sheetData>
    <row r="1" spans="1:5" ht="19.8" x14ac:dyDescent="0.4">
      <c r="A1" s="84" t="s">
        <v>190</v>
      </c>
      <c r="B1" s="84"/>
      <c r="C1" s="84"/>
      <c r="D1" s="84"/>
      <c r="E1" s="84"/>
    </row>
    <row r="2" spans="1:5" ht="19.8" x14ac:dyDescent="0.4">
      <c r="A2" s="55" t="s">
        <v>243</v>
      </c>
      <c r="B2" s="56"/>
      <c r="C2" s="56"/>
      <c r="D2" s="56"/>
      <c r="E2" s="57"/>
    </row>
    <row r="3" spans="1:5" ht="19.8" x14ac:dyDescent="0.4">
      <c r="A3" s="58" t="s">
        <v>181</v>
      </c>
      <c r="B3" s="58" t="s">
        <v>182</v>
      </c>
      <c r="C3" s="58" t="s">
        <v>183</v>
      </c>
      <c r="D3" s="58" t="s">
        <v>184</v>
      </c>
      <c r="E3" s="58" t="s">
        <v>195</v>
      </c>
    </row>
    <row r="4" spans="1:5" ht="19.8" x14ac:dyDescent="0.4">
      <c r="A4" s="59" t="s">
        <v>238</v>
      </c>
      <c r="B4" s="60" t="s">
        <v>185</v>
      </c>
      <c r="C4" s="61"/>
      <c r="D4" s="61"/>
      <c r="E4" s="62"/>
    </row>
    <row r="5" spans="1:5" ht="19.8" x14ac:dyDescent="0.4">
      <c r="A5" s="59" t="s">
        <v>240</v>
      </c>
      <c r="B5" s="63" t="s">
        <v>118</v>
      </c>
      <c r="C5" s="64" t="s">
        <v>12</v>
      </c>
      <c r="D5" s="63" t="s">
        <v>13</v>
      </c>
      <c r="E5" s="59" t="s">
        <v>120</v>
      </c>
    </row>
    <row r="6" spans="1:5" ht="19.8" x14ac:dyDescent="0.4">
      <c r="A6" s="65"/>
      <c r="B6" s="66" t="s">
        <v>252</v>
      </c>
      <c r="C6" s="67"/>
      <c r="D6" s="66"/>
      <c r="E6" s="65"/>
    </row>
    <row r="7" spans="1:5" ht="19.8" x14ac:dyDescent="0.4">
      <c r="A7" s="68"/>
      <c r="B7" s="69" t="s">
        <v>253</v>
      </c>
      <c r="C7" s="70"/>
      <c r="D7" s="69"/>
      <c r="E7" s="68"/>
    </row>
    <row r="8" spans="1:5" ht="19.8" x14ac:dyDescent="0.4">
      <c r="A8" s="59" t="s">
        <v>239</v>
      </c>
      <c r="B8" s="64" t="s">
        <v>141</v>
      </c>
      <c r="C8" s="63" t="s">
        <v>9</v>
      </c>
      <c r="D8" s="64" t="s">
        <v>10</v>
      </c>
      <c r="E8" s="59" t="s">
        <v>144</v>
      </c>
    </row>
    <row r="9" spans="1:5" ht="19.8" x14ac:dyDescent="0.4">
      <c r="A9" s="65"/>
      <c r="B9" s="67" t="s">
        <v>248</v>
      </c>
      <c r="C9" s="66" t="s">
        <v>90</v>
      </c>
      <c r="D9" s="67" t="s">
        <v>91</v>
      </c>
      <c r="E9" s="65" t="s">
        <v>143</v>
      </c>
    </row>
    <row r="10" spans="1:5" ht="19.8" x14ac:dyDescent="0.4">
      <c r="A10" s="68"/>
      <c r="B10" s="70" t="s">
        <v>249</v>
      </c>
      <c r="C10" s="69"/>
      <c r="D10" s="70"/>
      <c r="E10" s="68"/>
    </row>
    <row r="11" spans="1:5" ht="19.8" x14ac:dyDescent="0.4">
      <c r="A11" s="71" t="s">
        <v>203</v>
      </c>
      <c r="B11" s="60" t="s">
        <v>199</v>
      </c>
      <c r="C11" s="61"/>
      <c r="D11" s="61"/>
      <c r="E11" s="62"/>
    </row>
    <row r="12" spans="1:5" ht="19.8" x14ac:dyDescent="0.4">
      <c r="A12" s="57"/>
      <c r="B12" s="56"/>
      <c r="C12" s="56"/>
      <c r="D12" s="56"/>
      <c r="E12" s="57"/>
    </row>
    <row r="13" spans="1:5" ht="19.8" x14ac:dyDescent="0.4">
      <c r="A13" s="55" t="s">
        <v>245</v>
      </c>
      <c r="B13" s="56"/>
      <c r="C13" s="56"/>
      <c r="D13" s="56"/>
      <c r="E13" s="57"/>
    </row>
    <row r="14" spans="1:5" ht="19.8" x14ac:dyDescent="0.4">
      <c r="A14" s="59" t="s">
        <v>259</v>
      </c>
      <c r="B14" s="60" t="s">
        <v>202</v>
      </c>
      <c r="C14" s="61"/>
      <c r="D14" s="61"/>
      <c r="E14" s="62"/>
    </row>
    <row r="15" spans="1:5" ht="19.8" x14ac:dyDescent="0.4">
      <c r="A15" s="59" t="s">
        <v>240</v>
      </c>
      <c r="B15" s="63" t="s">
        <v>254</v>
      </c>
      <c r="C15" s="64" t="s">
        <v>87</v>
      </c>
      <c r="D15" s="63" t="s">
        <v>88</v>
      </c>
      <c r="E15" s="59" t="s">
        <v>178</v>
      </c>
    </row>
    <row r="16" spans="1:5" ht="19.8" x14ac:dyDescent="0.4">
      <c r="A16" s="65"/>
      <c r="B16" s="66" t="s">
        <v>250</v>
      </c>
      <c r="C16" s="67"/>
      <c r="D16" s="66"/>
      <c r="E16" s="65"/>
    </row>
    <row r="17" spans="1:5" ht="19.8" x14ac:dyDescent="0.4">
      <c r="A17" s="68"/>
      <c r="B17" s="69" t="s">
        <v>251</v>
      </c>
      <c r="C17" s="70"/>
      <c r="D17" s="69"/>
      <c r="E17" s="68"/>
    </row>
    <row r="18" spans="1:5" ht="19.8" x14ac:dyDescent="0.4">
      <c r="A18" s="71" t="s">
        <v>260</v>
      </c>
      <c r="B18" s="85" t="s">
        <v>188</v>
      </c>
      <c r="C18" s="86"/>
      <c r="D18" s="86"/>
      <c r="E18" s="87"/>
    </row>
    <row r="19" spans="1:5" ht="19.8" x14ac:dyDescent="0.4">
      <c r="A19" s="55" t="s">
        <v>189</v>
      </c>
      <c r="B19" s="56"/>
      <c r="C19" s="56"/>
      <c r="D19" s="56"/>
      <c r="E19" s="57"/>
    </row>
    <row r="22" spans="1:5" ht="23.4" x14ac:dyDescent="0.45">
      <c r="A22" s="39" t="s">
        <v>262</v>
      </c>
      <c r="B22" s="40"/>
      <c r="C22" s="41"/>
      <c r="D22" s="40"/>
    </row>
    <row r="23" spans="1:5" ht="23.4" x14ac:dyDescent="0.45">
      <c r="A23" s="40"/>
      <c r="B23" s="42" t="s">
        <v>263</v>
      </c>
      <c r="C23" s="41">
        <v>540</v>
      </c>
      <c r="D23" s="40" t="s">
        <v>217</v>
      </c>
      <c r="E23" s="1"/>
    </row>
    <row r="24" spans="1:5" ht="23.4" x14ac:dyDescent="0.45">
      <c r="A24" s="40"/>
      <c r="B24" s="42" t="s">
        <v>264</v>
      </c>
      <c r="C24" s="43">
        <v>1016</v>
      </c>
      <c r="D24" s="40" t="s">
        <v>217</v>
      </c>
      <c r="E24" s="1"/>
    </row>
    <row r="25" spans="1:5" ht="23.4" x14ac:dyDescent="0.45">
      <c r="A25" s="40"/>
      <c r="B25" s="42" t="s">
        <v>215</v>
      </c>
      <c r="C25" s="43">
        <v>3148</v>
      </c>
      <c r="D25" s="40" t="s">
        <v>217</v>
      </c>
      <c r="E25" s="1"/>
    </row>
    <row r="26" spans="1:5" ht="24" thickBot="1" x14ac:dyDescent="0.5">
      <c r="A26" s="42"/>
      <c r="B26" s="44" t="s">
        <v>216</v>
      </c>
      <c r="C26" s="45">
        <f>SUM(C23:C25)</f>
        <v>4704</v>
      </c>
      <c r="D26" s="44" t="s">
        <v>217</v>
      </c>
    </row>
    <row r="27" spans="1:5" ht="24" thickTop="1" x14ac:dyDescent="0.45">
      <c r="A27" s="42"/>
      <c r="B27" s="40"/>
      <c r="C27" s="41"/>
      <c r="D27" s="40"/>
    </row>
    <row r="28" spans="1:5" ht="23.4" x14ac:dyDescent="0.45">
      <c r="A28" s="39" t="s">
        <v>213</v>
      </c>
      <c r="B28" s="40"/>
      <c r="C28" s="41"/>
      <c r="D28" s="40"/>
    </row>
    <row r="29" spans="1:5" ht="23.4" x14ac:dyDescent="0.45">
      <c r="A29" s="46" t="s">
        <v>218</v>
      </c>
      <c r="B29" s="47"/>
      <c r="C29" s="48"/>
      <c r="D29" s="47"/>
    </row>
    <row r="30" spans="1:5" ht="23.4" x14ac:dyDescent="0.45">
      <c r="A30" s="49"/>
      <c r="B30" s="50" t="s">
        <v>261</v>
      </c>
      <c r="C30" s="49"/>
      <c r="D30" s="50"/>
    </row>
    <row r="31" spans="1:5" ht="23.4" x14ac:dyDescent="0.45">
      <c r="A31" s="51" t="s">
        <v>214</v>
      </c>
      <c r="B31" s="52" t="s">
        <v>219</v>
      </c>
      <c r="C31" s="53"/>
      <c r="D31" s="52"/>
    </row>
    <row r="32" spans="1:5" ht="23.4" x14ac:dyDescent="0.45">
      <c r="A32" s="50"/>
      <c r="B32" s="54" t="s">
        <v>220</v>
      </c>
      <c r="C32" s="49"/>
      <c r="D32" s="50"/>
    </row>
    <row r="33" spans="1:4" ht="23.4" x14ac:dyDescent="0.45">
      <c r="A33" s="42" t="s">
        <v>221</v>
      </c>
      <c r="B33" s="40" t="s">
        <v>222</v>
      </c>
      <c r="C33" s="41"/>
      <c r="D33" s="40"/>
    </row>
    <row r="34" spans="1:4" ht="23.4" x14ac:dyDescent="0.45">
      <c r="A34" s="41"/>
      <c r="B34" s="40"/>
      <c r="C34" s="41"/>
      <c r="D34" s="40"/>
    </row>
    <row r="35" spans="1:4" ht="23.4" x14ac:dyDescent="0.45">
      <c r="A35" s="39" t="s">
        <v>223</v>
      </c>
      <c r="B35" s="40"/>
      <c r="C35" s="41"/>
      <c r="D35" s="40"/>
    </row>
  </sheetData>
  <mergeCells count="2">
    <mergeCell ref="A1:E1"/>
    <mergeCell ref="B18:E18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ค่าใช้จ่าย</vt:lpstr>
      <vt:lpstr>รายชื่อรวม</vt:lpstr>
      <vt:lpstr>อ.กณิตา(เบิก)</vt:lpstr>
      <vt:lpstr>อ.กฤษฎา(เบิก)</vt:lpstr>
      <vt:lpstr>อ.กฤษฎา(จริง)</vt:lpstr>
      <vt:lpstr>อ.เชิดศักดิ์</vt:lpstr>
      <vt:lpstr>อ.ณิชากร(จริง)</vt:lpstr>
      <vt:lpstr>อ.ณิชากร(เบิก)</vt:lpstr>
      <vt:lpstr>อ.เสวียน(เบิก)</vt:lpstr>
      <vt:lpstr>อ.เสวียน(จริง)</vt:lpstr>
    </vt:vector>
  </TitlesOfParts>
  <Company>Naresuan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Wanatsanan Kanpai</cp:lastModifiedBy>
  <cp:lastPrinted>2026-02-17T06:35:30Z</cp:lastPrinted>
  <dcterms:created xsi:type="dcterms:W3CDTF">2025-10-28T09:29:33Z</dcterms:created>
  <dcterms:modified xsi:type="dcterms:W3CDTF">2026-03-17T08:49:46Z</dcterms:modified>
</cp:coreProperties>
</file>